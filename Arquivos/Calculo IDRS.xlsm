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4.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5.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R:\Compartilhado\FOR TEL\DOM\Arquivos\"/>
    </mc:Choice>
  </mc:AlternateContent>
  <bookViews>
    <workbookView xWindow="1470" yWindow="1470" windowWidth="12105" windowHeight="7875" tabRatio="763" activeTab="1"/>
  </bookViews>
  <sheets>
    <sheet name="Instruction" sheetId="90" r:id="rId1"/>
    <sheet name="Variable Capacity unit" sheetId="82" r:id="rId2"/>
    <sheet name="Multi-stage Capacity unit" sheetId="89" r:id="rId3"/>
    <sheet name="Two-stage Capacity unit" sheetId="87" r:id="rId4"/>
    <sheet name="Fixed Capacity unit" sheetId="85" r:id="rId5"/>
    <sheet name="data" sheetId="6" r:id="rId6"/>
  </sheets>
  <definedNames>
    <definedName name="_FilterDatabase" localSheetId="4" hidden="1">'Fixed Capacity unit'!#REF!</definedName>
    <definedName name="_FilterDatabase" localSheetId="2" hidden="1">'Multi-stage Capacity unit'!#REF!</definedName>
    <definedName name="_FilterDatabase" localSheetId="3" hidden="1">'Two-stage Capacity unit'!#REF!</definedName>
    <definedName name="_FilterDatabase" localSheetId="1" hidden="1">'Variable Capacity unit'!#REF!</definedName>
  </definedNames>
  <calcPr calcId="162913"/>
</workbook>
</file>

<file path=xl/calcChain.xml><?xml version="1.0" encoding="utf-8"?>
<calcChain xmlns="http://schemas.openxmlformats.org/spreadsheetml/2006/main">
  <c r="BD17" i="82" l="1"/>
  <c r="CF170" i="85" l="1"/>
  <c r="CC172" i="85"/>
  <c r="CC175" i="85"/>
  <c r="CH175" i="85"/>
  <c r="CK175" i="85"/>
  <c r="CL175" i="85"/>
  <c r="CC176" i="85"/>
  <c r="CH176" i="85"/>
  <c r="CK176" i="85"/>
  <c r="CL176" i="85"/>
  <c r="CH177" i="85"/>
  <c r="CH178" i="85"/>
  <c r="CH179" i="85"/>
  <c r="CC180" i="85"/>
  <c r="CH180" i="85"/>
  <c r="CC181" i="85"/>
  <c r="CC192" i="85"/>
  <c r="CD192" i="85"/>
  <c r="CC193" i="85"/>
  <c r="CD193" i="85"/>
  <c r="CC194" i="85"/>
  <c r="CD194" i="85"/>
  <c r="CC195" i="85"/>
  <c r="CD195" i="85"/>
  <c r="CC196" i="85"/>
  <c r="CD196" i="85"/>
  <c r="CC197" i="85"/>
  <c r="CD197" i="85"/>
  <c r="CC198" i="85"/>
  <c r="CD198" i="85"/>
  <c r="CC199" i="85"/>
  <c r="CD199" i="85"/>
  <c r="CC200" i="85"/>
  <c r="CD200" i="85"/>
  <c r="CC201" i="85"/>
  <c r="CD201" i="85"/>
  <c r="CC202" i="85"/>
  <c r="CD202" i="85"/>
  <c r="CC203" i="85"/>
  <c r="CD203" i="85"/>
  <c r="CC204" i="85"/>
  <c r="CD204" i="85"/>
  <c r="CC205" i="85"/>
  <c r="CD205" i="85"/>
  <c r="CC206" i="85"/>
  <c r="CD206" i="85"/>
  <c r="CC207" i="85"/>
  <c r="CD207" i="85"/>
  <c r="CC208" i="85"/>
  <c r="CD208" i="85"/>
  <c r="CC209" i="85"/>
  <c r="CD209" i="85"/>
  <c r="CC210" i="85"/>
  <c r="CD210" i="85"/>
  <c r="CC211" i="85"/>
  <c r="CD211" i="85"/>
  <c r="CC212" i="85"/>
  <c r="CD212" i="85"/>
  <c r="CC213" i="85"/>
  <c r="CD213" i="85"/>
  <c r="CC214" i="85"/>
  <c r="CD214" i="85"/>
  <c r="CC215" i="85"/>
  <c r="CD215" i="85"/>
  <c r="CC216" i="85"/>
  <c r="CD216" i="85"/>
  <c r="CC217" i="85"/>
  <c r="CD217" i="85"/>
  <c r="CC218" i="85"/>
  <c r="CD218" i="85"/>
  <c r="CC219" i="85"/>
  <c r="CD219" i="85"/>
  <c r="CC220" i="85"/>
  <c r="CD220" i="85"/>
  <c r="CC221" i="85"/>
  <c r="CD221" i="85"/>
  <c r="CC222" i="85"/>
  <c r="CD222" i="85"/>
  <c r="CF110" i="85"/>
  <c r="CC112" i="85"/>
  <c r="CC115" i="85"/>
  <c r="CH115" i="85"/>
  <c r="CK115" i="85"/>
  <c r="CL115" i="85"/>
  <c r="CC116" i="85"/>
  <c r="CC117" i="85" s="1"/>
  <c r="CH116" i="85"/>
  <c r="CK116" i="85"/>
  <c r="CL116" i="85"/>
  <c r="CH117" i="85"/>
  <c r="CH118" i="85"/>
  <c r="CH119" i="85"/>
  <c r="CC120" i="85"/>
  <c r="CH120" i="85"/>
  <c r="CC121" i="85"/>
  <c r="CC132" i="85"/>
  <c r="CD132" i="85"/>
  <c r="CC133" i="85"/>
  <c r="CD133" i="85"/>
  <c r="CC134" i="85"/>
  <c r="CD134" i="85"/>
  <c r="CC135" i="85"/>
  <c r="CD135" i="85"/>
  <c r="CC136" i="85"/>
  <c r="CD136" i="85"/>
  <c r="CC137" i="85"/>
  <c r="CD137" i="85"/>
  <c r="CC138" i="85"/>
  <c r="CD138" i="85"/>
  <c r="CC139" i="85"/>
  <c r="CD139" i="85"/>
  <c r="CC140" i="85"/>
  <c r="CD140" i="85"/>
  <c r="CC141" i="85"/>
  <c r="CD141" i="85"/>
  <c r="CC142" i="85"/>
  <c r="CD142" i="85"/>
  <c r="CC143" i="85"/>
  <c r="CD143" i="85"/>
  <c r="CC144" i="85"/>
  <c r="CD144" i="85"/>
  <c r="CC145" i="85"/>
  <c r="CD145" i="85"/>
  <c r="CC146" i="85"/>
  <c r="CD146" i="85"/>
  <c r="CC147" i="85"/>
  <c r="CD147" i="85"/>
  <c r="CC148" i="85"/>
  <c r="CD148" i="85"/>
  <c r="CC149" i="85"/>
  <c r="CD149" i="85"/>
  <c r="CC150" i="85"/>
  <c r="CD150" i="85"/>
  <c r="CC151" i="85"/>
  <c r="CD151" i="85"/>
  <c r="CC152" i="85"/>
  <c r="CD152" i="85"/>
  <c r="CC153" i="85"/>
  <c r="CD153" i="85"/>
  <c r="CC154" i="85"/>
  <c r="CD154" i="85"/>
  <c r="CC155" i="85"/>
  <c r="CD155" i="85"/>
  <c r="CC156" i="85"/>
  <c r="CD156" i="85"/>
  <c r="CC157" i="85"/>
  <c r="CD157" i="85"/>
  <c r="CC158" i="85"/>
  <c r="CD158" i="85"/>
  <c r="CC159" i="85"/>
  <c r="CD159" i="85"/>
  <c r="CC160" i="85"/>
  <c r="CD160" i="85"/>
  <c r="CC161" i="85"/>
  <c r="CD161" i="85"/>
  <c r="CC162" i="85"/>
  <c r="CD162" i="85"/>
  <c r="CF60" i="85"/>
  <c r="CC62" i="85"/>
  <c r="CC65" i="85"/>
  <c r="CH65" i="85"/>
  <c r="CK65" i="85"/>
  <c r="CL65" i="85"/>
  <c r="CC66" i="85"/>
  <c r="CH66" i="85"/>
  <c r="CK66" i="85"/>
  <c r="CL66" i="85"/>
  <c r="CC70" i="85"/>
  <c r="CC71" i="85"/>
  <c r="CC77" i="85"/>
  <c r="CD77" i="85"/>
  <c r="CC78" i="85"/>
  <c r="CD78" i="85"/>
  <c r="CC79" i="85"/>
  <c r="CD79" i="85"/>
  <c r="CC80" i="85"/>
  <c r="CD80" i="85"/>
  <c r="CC81" i="85"/>
  <c r="CD81" i="85"/>
  <c r="CC82" i="85"/>
  <c r="CD82" i="85"/>
  <c r="CC83" i="85"/>
  <c r="CD83" i="85"/>
  <c r="CC84" i="85"/>
  <c r="CD84" i="85"/>
  <c r="CC85" i="85"/>
  <c r="CD85" i="85"/>
  <c r="CC86" i="85"/>
  <c r="CD86" i="85"/>
  <c r="CC87" i="85"/>
  <c r="CD87" i="85"/>
  <c r="CC88" i="85"/>
  <c r="CD88" i="85"/>
  <c r="CC89" i="85"/>
  <c r="CD89" i="85"/>
  <c r="CC90" i="85"/>
  <c r="CD90" i="85"/>
  <c r="CC91" i="85"/>
  <c r="CD91" i="85"/>
  <c r="CC92" i="85"/>
  <c r="CD92" i="85"/>
  <c r="CC93" i="85"/>
  <c r="CD93" i="85"/>
  <c r="CC94" i="85"/>
  <c r="CD94" i="85"/>
  <c r="CC95" i="85"/>
  <c r="CD95" i="85"/>
  <c r="CC96" i="85"/>
  <c r="CD96" i="85"/>
  <c r="CC97" i="85"/>
  <c r="CD97" i="85"/>
  <c r="CC98" i="85"/>
  <c r="CD98" i="85"/>
  <c r="CC99" i="85"/>
  <c r="CD99" i="85"/>
  <c r="CC100" i="85"/>
  <c r="CD100" i="85"/>
  <c r="CC101" i="85"/>
  <c r="CD101" i="85"/>
  <c r="CC102" i="85"/>
  <c r="CD102" i="85"/>
  <c r="CC103" i="85"/>
  <c r="CD103" i="85"/>
  <c r="CC104" i="85"/>
  <c r="CD104" i="85"/>
  <c r="CC105" i="85"/>
  <c r="CD105" i="85"/>
  <c r="CC106" i="85"/>
  <c r="CD106" i="85"/>
  <c r="CC107" i="85"/>
  <c r="CD107" i="85"/>
  <c r="CF1" i="85"/>
  <c r="CC3" i="85"/>
  <c r="CC6" i="85"/>
  <c r="CH6" i="85"/>
  <c r="CK6" i="85"/>
  <c r="CL6" i="85"/>
  <c r="CC7" i="85"/>
  <c r="CH7" i="85"/>
  <c r="CK7" i="85"/>
  <c r="CL7" i="85"/>
  <c r="CC11" i="85"/>
  <c r="CC12" i="85"/>
  <c r="CC18" i="85"/>
  <c r="CD18" i="85"/>
  <c r="CC19" i="85"/>
  <c r="CD19" i="85"/>
  <c r="CC20" i="85"/>
  <c r="CD20" i="85"/>
  <c r="CC21" i="85"/>
  <c r="CD21" i="85"/>
  <c r="CC22" i="85"/>
  <c r="CD22" i="85"/>
  <c r="CC23" i="85"/>
  <c r="CD23" i="85"/>
  <c r="CC24" i="85"/>
  <c r="CD24" i="85"/>
  <c r="CC25" i="85"/>
  <c r="CD25" i="85"/>
  <c r="CC26" i="85"/>
  <c r="CD26" i="85"/>
  <c r="CC27" i="85"/>
  <c r="CD27" i="85"/>
  <c r="CC28" i="85"/>
  <c r="CD28" i="85"/>
  <c r="CC29" i="85"/>
  <c r="CD29" i="85"/>
  <c r="CC30" i="85"/>
  <c r="CD30" i="85"/>
  <c r="CC31" i="85"/>
  <c r="CD31" i="85"/>
  <c r="CC32" i="85"/>
  <c r="CD32" i="85"/>
  <c r="CC33" i="85"/>
  <c r="CD33" i="85"/>
  <c r="CC34" i="85"/>
  <c r="CD34" i="85"/>
  <c r="CC35" i="85"/>
  <c r="CD35" i="85"/>
  <c r="CC36" i="85"/>
  <c r="CD36" i="85"/>
  <c r="CC37" i="85"/>
  <c r="CD37" i="85"/>
  <c r="CC38" i="85"/>
  <c r="CD38" i="85"/>
  <c r="CC39" i="85"/>
  <c r="CD39" i="85"/>
  <c r="CC40" i="85"/>
  <c r="CD40" i="85"/>
  <c r="CC41" i="85"/>
  <c r="CD41" i="85"/>
  <c r="CC42" i="85"/>
  <c r="CD42" i="85"/>
  <c r="CC43" i="85"/>
  <c r="CD43" i="85"/>
  <c r="CC44" i="85"/>
  <c r="CD44" i="85"/>
  <c r="CC45" i="85"/>
  <c r="CD45" i="85"/>
  <c r="CC46" i="85"/>
  <c r="CD46" i="85"/>
  <c r="CC47" i="85"/>
  <c r="CD47" i="85"/>
  <c r="CC48" i="85"/>
  <c r="CD48" i="85"/>
  <c r="CF170" i="87"/>
  <c r="CC172" i="87"/>
  <c r="CC175" i="87"/>
  <c r="CH175" i="87"/>
  <c r="CK175" i="87"/>
  <c r="CL175" i="87"/>
  <c r="CC176" i="87"/>
  <c r="CC177" i="87" s="1"/>
  <c r="CH176" i="87"/>
  <c r="CK176" i="87"/>
  <c r="CL176" i="87"/>
  <c r="CH177" i="87"/>
  <c r="CH178" i="87"/>
  <c r="CH179" i="87"/>
  <c r="CC180" i="87"/>
  <c r="CD180" i="87"/>
  <c r="CH180" i="87"/>
  <c r="CC181" i="87"/>
  <c r="CD181" i="87"/>
  <c r="CC192" i="87"/>
  <c r="CD192" i="87"/>
  <c r="CC193" i="87"/>
  <c r="CD193" i="87"/>
  <c r="CC194" i="87"/>
  <c r="CD194" i="87"/>
  <c r="CC195" i="87"/>
  <c r="CD195" i="87"/>
  <c r="CC196" i="87"/>
  <c r="CD196" i="87"/>
  <c r="CC197" i="87"/>
  <c r="CD197" i="87"/>
  <c r="CC198" i="87"/>
  <c r="CD198" i="87"/>
  <c r="CC199" i="87"/>
  <c r="CD199" i="87"/>
  <c r="CC200" i="87"/>
  <c r="CD200" i="87"/>
  <c r="CC201" i="87"/>
  <c r="CD201" i="87"/>
  <c r="CC202" i="87"/>
  <c r="CD202" i="87"/>
  <c r="CC203" i="87"/>
  <c r="CD203" i="87"/>
  <c r="CC204" i="87"/>
  <c r="CD204" i="87"/>
  <c r="CC205" i="87"/>
  <c r="CD205" i="87"/>
  <c r="CC206" i="87"/>
  <c r="CD206" i="87"/>
  <c r="CC207" i="87"/>
  <c r="CD207" i="87"/>
  <c r="CC208" i="87"/>
  <c r="CD208" i="87"/>
  <c r="CC209" i="87"/>
  <c r="CD209" i="87"/>
  <c r="CC210" i="87"/>
  <c r="CD210" i="87"/>
  <c r="CC211" i="87"/>
  <c r="CD211" i="87"/>
  <c r="CC212" i="87"/>
  <c r="CD212" i="87"/>
  <c r="CC213" i="87"/>
  <c r="CD213" i="87"/>
  <c r="CC214" i="87"/>
  <c r="CD214" i="87"/>
  <c r="CC215" i="87"/>
  <c r="CD215" i="87"/>
  <c r="CC216" i="87"/>
  <c r="CD216" i="87"/>
  <c r="CC217" i="87"/>
  <c r="CD217" i="87"/>
  <c r="CC218" i="87"/>
  <c r="CD218" i="87"/>
  <c r="CC219" i="87"/>
  <c r="CD219" i="87"/>
  <c r="CC220" i="87"/>
  <c r="CD220" i="87"/>
  <c r="CC221" i="87"/>
  <c r="CD221" i="87"/>
  <c r="CC222" i="87"/>
  <c r="CD222" i="87"/>
  <c r="CF110" i="87"/>
  <c r="CC112" i="87"/>
  <c r="CC115" i="87"/>
  <c r="CH115" i="87"/>
  <c r="CK115" i="87"/>
  <c r="CL115" i="87"/>
  <c r="CC116" i="87"/>
  <c r="CH116" i="87"/>
  <c r="CK116" i="87"/>
  <c r="CL116" i="87"/>
  <c r="CH117" i="87"/>
  <c r="CH118" i="87"/>
  <c r="CH119" i="87"/>
  <c r="CC120" i="87"/>
  <c r="CD120" i="87"/>
  <c r="CH120" i="87"/>
  <c r="CC121" i="87"/>
  <c r="CD121" i="87"/>
  <c r="CC132" i="87"/>
  <c r="CD132" i="87"/>
  <c r="CC133" i="87"/>
  <c r="CD133" i="87"/>
  <c r="CC134" i="87"/>
  <c r="CD134" i="87"/>
  <c r="CC135" i="87"/>
  <c r="CD135" i="87"/>
  <c r="CC136" i="87"/>
  <c r="CD136" i="87"/>
  <c r="CC137" i="87"/>
  <c r="CD137" i="87"/>
  <c r="CC138" i="87"/>
  <c r="CD138" i="87"/>
  <c r="CC139" i="87"/>
  <c r="CD139" i="87"/>
  <c r="CC140" i="87"/>
  <c r="CD140" i="87"/>
  <c r="CC141" i="87"/>
  <c r="CD141" i="87"/>
  <c r="CC142" i="87"/>
  <c r="CD142" i="87"/>
  <c r="CC143" i="87"/>
  <c r="CD143" i="87"/>
  <c r="CC144" i="87"/>
  <c r="CD144" i="87"/>
  <c r="CC145" i="87"/>
  <c r="CD145" i="87"/>
  <c r="CC146" i="87"/>
  <c r="CD146" i="87"/>
  <c r="CC147" i="87"/>
  <c r="CD147" i="87"/>
  <c r="CC148" i="87"/>
  <c r="CD148" i="87"/>
  <c r="CC149" i="87"/>
  <c r="CD149" i="87"/>
  <c r="CC150" i="87"/>
  <c r="CD150" i="87"/>
  <c r="CC151" i="87"/>
  <c r="CD151" i="87"/>
  <c r="CC152" i="87"/>
  <c r="CD152" i="87"/>
  <c r="CC153" i="87"/>
  <c r="CD153" i="87"/>
  <c r="CC154" i="87"/>
  <c r="CD154" i="87"/>
  <c r="CC155" i="87"/>
  <c r="CD155" i="87"/>
  <c r="CC156" i="87"/>
  <c r="CD156" i="87"/>
  <c r="CC157" i="87"/>
  <c r="CD157" i="87"/>
  <c r="CC158" i="87"/>
  <c r="CD158" i="87"/>
  <c r="CC159" i="87"/>
  <c r="CD159" i="87"/>
  <c r="CC160" i="87"/>
  <c r="CD160" i="87"/>
  <c r="CC161" i="87"/>
  <c r="CD161" i="87"/>
  <c r="CC162" i="87"/>
  <c r="CD162" i="87"/>
  <c r="CF60" i="87"/>
  <c r="CC62" i="87"/>
  <c r="CC65" i="87"/>
  <c r="CH65" i="87"/>
  <c r="CK65" i="87"/>
  <c r="CL65" i="87"/>
  <c r="CC66" i="87"/>
  <c r="CH66" i="87"/>
  <c r="CK66" i="87"/>
  <c r="CL66" i="87"/>
  <c r="CH67" i="87"/>
  <c r="CH68" i="87"/>
  <c r="CC70" i="87"/>
  <c r="CD70" i="87"/>
  <c r="CC71" i="87"/>
  <c r="CD71" i="87"/>
  <c r="CC77" i="87"/>
  <c r="CD77" i="87"/>
  <c r="CC78" i="87"/>
  <c r="CD78" i="87"/>
  <c r="CC79" i="87"/>
  <c r="CD79" i="87"/>
  <c r="CC80" i="87"/>
  <c r="CD80" i="87"/>
  <c r="CC81" i="87"/>
  <c r="CD81" i="87"/>
  <c r="CC82" i="87"/>
  <c r="CD82" i="87"/>
  <c r="CC83" i="87"/>
  <c r="CD83" i="87"/>
  <c r="CC84" i="87"/>
  <c r="CD84" i="87"/>
  <c r="CC85" i="87"/>
  <c r="CD85" i="87"/>
  <c r="CC86" i="87"/>
  <c r="CD86" i="87"/>
  <c r="CC87" i="87"/>
  <c r="CD87" i="87"/>
  <c r="CC88" i="87"/>
  <c r="CD88" i="87"/>
  <c r="CC89" i="87"/>
  <c r="CD89" i="87"/>
  <c r="CC90" i="87"/>
  <c r="CD90" i="87"/>
  <c r="CC91" i="87"/>
  <c r="CD91" i="87"/>
  <c r="CC92" i="87"/>
  <c r="CD92" i="87"/>
  <c r="CC93" i="87"/>
  <c r="CD93" i="87"/>
  <c r="CC94" i="87"/>
  <c r="CD94" i="87"/>
  <c r="CC95" i="87"/>
  <c r="CD95" i="87"/>
  <c r="CC96" i="87"/>
  <c r="CD96" i="87"/>
  <c r="CC97" i="87"/>
  <c r="CD97" i="87"/>
  <c r="CC98" i="87"/>
  <c r="CD98" i="87"/>
  <c r="CC99" i="87"/>
  <c r="CD99" i="87"/>
  <c r="CC100" i="87"/>
  <c r="CD100" i="87"/>
  <c r="CC101" i="87"/>
  <c r="CD101" i="87"/>
  <c r="CC102" i="87"/>
  <c r="CD102" i="87"/>
  <c r="CC103" i="87"/>
  <c r="CD103" i="87"/>
  <c r="CC104" i="87"/>
  <c r="CD104" i="87"/>
  <c r="CC105" i="87"/>
  <c r="CD105" i="87"/>
  <c r="CC106" i="87"/>
  <c r="CD106" i="87"/>
  <c r="CC107" i="87"/>
  <c r="CD107" i="87"/>
  <c r="CF1" i="87"/>
  <c r="CC3" i="87"/>
  <c r="CC6" i="87"/>
  <c r="CH6" i="87"/>
  <c r="CK6" i="87"/>
  <c r="CL6" i="87"/>
  <c r="CC7" i="87"/>
  <c r="CH7" i="87"/>
  <c r="CK7" i="87"/>
  <c r="CL7" i="87"/>
  <c r="CH8" i="87"/>
  <c r="CH9" i="87"/>
  <c r="CC11" i="87"/>
  <c r="CD11" i="87"/>
  <c r="CC12" i="87"/>
  <c r="CD12" i="87"/>
  <c r="CC18" i="87"/>
  <c r="CD18" i="87"/>
  <c r="CC19" i="87"/>
  <c r="CD19" i="87"/>
  <c r="CC20" i="87"/>
  <c r="CD20" i="87"/>
  <c r="CC21" i="87"/>
  <c r="CD21" i="87"/>
  <c r="CC22" i="87"/>
  <c r="CD22" i="87"/>
  <c r="CC23" i="87"/>
  <c r="CD23" i="87"/>
  <c r="CC24" i="87"/>
  <c r="CD24" i="87"/>
  <c r="CC25" i="87"/>
  <c r="CD25" i="87"/>
  <c r="CC26" i="87"/>
  <c r="CD26" i="87"/>
  <c r="CC27" i="87"/>
  <c r="CD27" i="87"/>
  <c r="CC28" i="87"/>
  <c r="CD28" i="87"/>
  <c r="CC29" i="87"/>
  <c r="CD29" i="87"/>
  <c r="CC30" i="87"/>
  <c r="CD30" i="87"/>
  <c r="CC31" i="87"/>
  <c r="CD31" i="87"/>
  <c r="CC32" i="87"/>
  <c r="CD32" i="87"/>
  <c r="CC33" i="87"/>
  <c r="CD33" i="87"/>
  <c r="CC34" i="87"/>
  <c r="CD34" i="87"/>
  <c r="CC35" i="87"/>
  <c r="CD35" i="87"/>
  <c r="CC36" i="87"/>
  <c r="CD36" i="87"/>
  <c r="CC37" i="87"/>
  <c r="CD37" i="87"/>
  <c r="CC38" i="87"/>
  <c r="CD38" i="87"/>
  <c r="CC39" i="87"/>
  <c r="CD39" i="87"/>
  <c r="CC40" i="87"/>
  <c r="CD40" i="87"/>
  <c r="CC41" i="87"/>
  <c r="CD41" i="87"/>
  <c r="CC42" i="87"/>
  <c r="CD42" i="87"/>
  <c r="CC43" i="87"/>
  <c r="CD43" i="87"/>
  <c r="CC44" i="87"/>
  <c r="CD44" i="87"/>
  <c r="CC45" i="87"/>
  <c r="CD45" i="87"/>
  <c r="CC46" i="87"/>
  <c r="CD46" i="87"/>
  <c r="CC47" i="87"/>
  <c r="CD47" i="87"/>
  <c r="CC48" i="87"/>
  <c r="CD48" i="87"/>
  <c r="CF170" i="89"/>
  <c r="CC172" i="89"/>
  <c r="CC175" i="89"/>
  <c r="CH175" i="89"/>
  <c r="CK175" i="89"/>
  <c r="CL175" i="89"/>
  <c r="CM175" i="89"/>
  <c r="CN175" i="89"/>
  <c r="CC176" i="89"/>
  <c r="CH176" i="89"/>
  <c r="CK176" i="89"/>
  <c r="CL176" i="89"/>
  <c r="CM176" i="89"/>
  <c r="CN176" i="89"/>
  <c r="CH177" i="89"/>
  <c r="CH178" i="89"/>
  <c r="CH179" i="89"/>
  <c r="CC180" i="89"/>
  <c r="CD180" i="89"/>
  <c r="CH180" i="89"/>
  <c r="CC181" i="89"/>
  <c r="CD181" i="89"/>
  <c r="CC192" i="89"/>
  <c r="CD192" i="89"/>
  <c r="CC193" i="89"/>
  <c r="CD193" i="89"/>
  <c r="CC194" i="89"/>
  <c r="CD194" i="89"/>
  <c r="CC195" i="89"/>
  <c r="CD195" i="89"/>
  <c r="CC196" i="89"/>
  <c r="CD196" i="89"/>
  <c r="CC197" i="89"/>
  <c r="CD197" i="89"/>
  <c r="CC198" i="89"/>
  <c r="CD198" i="89"/>
  <c r="CC199" i="89"/>
  <c r="CD199" i="89"/>
  <c r="CC200" i="89"/>
  <c r="CD200" i="89"/>
  <c r="CC201" i="89"/>
  <c r="CD201" i="89"/>
  <c r="CC202" i="89"/>
  <c r="CD202" i="89"/>
  <c r="CC203" i="89"/>
  <c r="CD203" i="89"/>
  <c r="CC204" i="89"/>
  <c r="CD204" i="89"/>
  <c r="CC205" i="89"/>
  <c r="CD205" i="89"/>
  <c r="CC206" i="89"/>
  <c r="CD206" i="89"/>
  <c r="CC207" i="89"/>
  <c r="CD207" i="89"/>
  <c r="CC208" i="89"/>
  <c r="CD208" i="89"/>
  <c r="CC209" i="89"/>
  <c r="CD209" i="89"/>
  <c r="CC210" i="89"/>
  <c r="CD210" i="89"/>
  <c r="CC211" i="89"/>
  <c r="CD211" i="89"/>
  <c r="CC212" i="89"/>
  <c r="CD212" i="89"/>
  <c r="CC213" i="89"/>
  <c r="CD213" i="89"/>
  <c r="CC214" i="89"/>
  <c r="CD214" i="89"/>
  <c r="CC215" i="89"/>
  <c r="CD215" i="89"/>
  <c r="CC216" i="89"/>
  <c r="CD216" i="89"/>
  <c r="CC217" i="89"/>
  <c r="CD217" i="89"/>
  <c r="CC218" i="89"/>
  <c r="CD218" i="89"/>
  <c r="CC219" i="89"/>
  <c r="CD219" i="89"/>
  <c r="CC220" i="89"/>
  <c r="CD220" i="89"/>
  <c r="CC221" i="89"/>
  <c r="CD221" i="89"/>
  <c r="CC222" i="89"/>
  <c r="CD222" i="89"/>
  <c r="CF110" i="89"/>
  <c r="CC112" i="89"/>
  <c r="CC115" i="89"/>
  <c r="CH115" i="89"/>
  <c r="CK115" i="89"/>
  <c r="CL115" i="89"/>
  <c r="CM115" i="89"/>
  <c r="CN115" i="89"/>
  <c r="CC116" i="89"/>
  <c r="CH116" i="89"/>
  <c r="CK116" i="89"/>
  <c r="CL116" i="89"/>
  <c r="CM116" i="89"/>
  <c r="CN116" i="89"/>
  <c r="CH117" i="89"/>
  <c r="CH118" i="89"/>
  <c r="CH119" i="89"/>
  <c r="CC120" i="89"/>
  <c r="CD120" i="89"/>
  <c r="CH120" i="89"/>
  <c r="CC121" i="89"/>
  <c r="CD121" i="89"/>
  <c r="CC132" i="89"/>
  <c r="CD132" i="89"/>
  <c r="CC133" i="89"/>
  <c r="CD133" i="89"/>
  <c r="CC134" i="89"/>
  <c r="CD134" i="89"/>
  <c r="CC135" i="89"/>
  <c r="CD135" i="89"/>
  <c r="CC136" i="89"/>
  <c r="CD136" i="89"/>
  <c r="CC137" i="89"/>
  <c r="CD137" i="89"/>
  <c r="CC138" i="89"/>
  <c r="CD138" i="89"/>
  <c r="CC139" i="89"/>
  <c r="CD139" i="89"/>
  <c r="CC140" i="89"/>
  <c r="CD140" i="89"/>
  <c r="CC141" i="89"/>
  <c r="CD141" i="89"/>
  <c r="CC142" i="89"/>
  <c r="CD142" i="89"/>
  <c r="CC143" i="89"/>
  <c r="CD143" i="89"/>
  <c r="CC144" i="89"/>
  <c r="CD144" i="89"/>
  <c r="CC145" i="89"/>
  <c r="CD145" i="89"/>
  <c r="CC146" i="89"/>
  <c r="CD146" i="89"/>
  <c r="CC147" i="89"/>
  <c r="CD147" i="89"/>
  <c r="CC148" i="89"/>
  <c r="CD148" i="89"/>
  <c r="CC149" i="89"/>
  <c r="CD149" i="89"/>
  <c r="CC150" i="89"/>
  <c r="CD150" i="89"/>
  <c r="CC151" i="89"/>
  <c r="CD151" i="89"/>
  <c r="CC152" i="89"/>
  <c r="CD152" i="89"/>
  <c r="CC153" i="89"/>
  <c r="CD153" i="89"/>
  <c r="CC154" i="89"/>
  <c r="CD154" i="89"/>
  <c r="CC155" i="89"/>
  <c r="CD155" i="89"/>
  <c r="CC156" i="89"/>
  <c r="CD156" i="89"/>
  <c r="CC157" i="89"/>
  <c r="CD157" i="89"/>
  <c r="CC158" i="89"/>
  <c r="CD158" i="89"/>
  <c r="CC159" i="89"/>
  <c r="CD159" i="89"/>
  <c r="CC160" i="89"/>
  <c r="CD160" i="89"/>
  <c r="CC161" i="89"/>
  <c r="CD161" i="89"/>
  <c r="CC162" i="89"/>
  <c r="CD162" i="89"/>
  <c r="CF60" i="89"/>
  <c r="CC62" i="89"/>
  <c r="CC65" i="89"/>
  <c r="CH65" i="89"/>
  <c r="CK65" i="89"/>
  <c r="CL65" i="89"/>
  <c r="CM65" i="89"/>
  <c r="CN65" i="89"/>
  <c r="CC66" i="89"/>
  <c r="CH66" i="89"/>
  <c r="CK66" i="89"/>
  <c r="CL66" i="89"/>
  <c r="CM66" i="89"/>
  <c r="CN66" i="89"/>
  <c r="CH67" i="89"/>
  <c r="CH68" i="89"/>
  <c r="CC70" i="89"/>
  <c r="CD70" i="89"/>
  <c r="CC71" i="89"/>
  <c r="CD71" i="89"/>
  <c r="CC77" i="89"/>
  <c r="CD77" i="89"/>
  <c r="CC78" i="89"/>
  <c r="CD78" i="89"/>
  <c r="CC79" i="89"/>
  <c r="CD79" i="89"/>
  <c r="CC80" i="89"/>
  <c r="CD80" i="89"/>
  <c r="CC81" i="89"/>
  <c r="CD81" i="89"/>
  <c r="CC82" i="89"/>
  <c r="CD82" i="89"/>
  <c r="CC83" i="89"/>
  <c r="CD83" i="89"/>
  <c r="CC84" i="89"/>
  <c r="CD84" i="89"/>
  <c r="CC85" i="89"/>
  <c r="CD85" i="89"/>
  <c r="CC86" i="89"/>
  <c r="CD86" i="89"/>
  <c r="CC87" i="89"/>
  <c r="CD87" i="89"/>
  <c r="CC88" i="89"/>
  <c r="CD88" i="89"/>
  <c r="CC89" i="89"/>
  <c r="CD89" i="89"/>
  <c r="CC90" i="89"/>
  <c r="CD90" i="89"/>
  <c r="CC91" i="89"/>
  <c r="CD91" i="89"/>
  <c r="CC92" i="89"/>
  <c r="CD92" i="89"/>
  <c r="CC93" i="89"/>
  <c r="CD93" i="89"/>
  <c r="CC94" i="89"/>
  <c r="CD94" i="89"/>
  <c r="CC95" i="89"/>
  <c r="CD95" i="89"/>
  <c r="CC96" i="89"/>
  <c r="CD96" i="89"/>
  <c r="CC97" i="89"/>
  <c r="CD97" i="89"/>
  <c r="CC98" i="89"/>
  <c r="CD98" i="89"/>
  <c r="CC99" i="89"/>
  <c r="CD99" i="89"/>
  <c r="CC100" i="89"/>
  <c r="CD100" i="89"/>
  <c r="CC101" i="89"/>
  <c r="CD101" i="89"/>
  <c r="CC102" i="89"/>
  <c r="CD102" i="89"/>
  <c r="CC103" i="89"/>
  <c r="CD103" i="89"/>
  <c r="CC104" i="89"/>
  <c r="CD104" i="89"/>
  <c r="CC105" i="89"/>
  <c r="CD105" i="89"/>
  <c r="CC106" i="89"/>
  <c r="CD106" i="89"/>
  <c r="CC107" i="89"/>
  <c r="CD107" i="89"/>
  <c r="CF1" i="89"/>
  <c r="CC3" i="89"/>
  <c r="CC6" i="89"/>
  <c r="CH6" i="89"/>
  <c r="CK6" i="89"/>
  <c r="CL6" i="89"/>
  <c r="CM6" i="89"/>
  <c r="CN6" i="89"/>
  <c r="CC7" i="89"/>
  <c r="CH7" i="89"/>
  <c r="CK7" i="89"/>
  <c r="CL7" i="89"/>
  <c r="CM7" i="89"/>
  <c r="CN7" i="89"/>
  <c r="CH8" i="89"/>
  <c r="CH9" i="89"/>
  <c r="CC11" i="89"/>
  <c r="CD11" i="89"/>
  <c r="CC12" i="89"/>
  <c r="CD12" i="89"/>
  <c r="CC18" i="89"/>
  <c r="CD18" i="89"/>
  <c r="CC19" i="89"/>
  <c r="CD19" i="89"/>
  <c r="CC20" i="89"/>
  <c r="CD20" i="89"/>
  <c r="CC21" i="89"/>
  <c r="CD21" i="89"/>
  <c r="CC22" i="89"/>
  <c r="CD22" i="89"/>
  <c r="CC23" i="89"/>
  <c r="CD23" i="89"/>
  <c r="CC24" i="89"/>
  <c r="CD24" i="89"/>
  <c r="CC25" i="89"/>
  <c r="CD25" i="89"/>
  <c r="CC26" i="89"/>
  <c r="CD26" i="89"/>
  <c r="CC27" i="89"/>
  <c r="CD27" i="89"/>
  <c r="CC28" i="89"/>
  <c r="CD28" i="89"/>
  <c r="CC29" i="89"/>
  <c r="CD29" i="89"/>
  <c r="CC30" i="89"/>
  <c r="CD30" i="89"/>
  <c r="CC31" i="89"/>
  <c r="CD31" i="89"/>
  <c r="CC32" i="89"/>
  <c r="CD32" i="89"/>
  <c r="CC33" i="89"/>
  <c r="CD33" i="89"/>
  <c r="CC34" i="89"/>
  <c r="CD34" i="89"/>
  <c r="CC35" i="89"/>
  <c r="CD35" i="89"/>
  <c r="CC36" i="89"/>
  <c r="CD36" i="89"/>
  <c r="CC37" i="89"/>
  <c r="CD37" i="89"/>
  <c r="CC38" i="89"/>
  <c r="CD38" i="89"/>
  <c r="CC39" i="89"/>
  <c r="CD39" i="89"/>
  <c r="CC40" i="89"/>
  <c r="CD40" i="89"/>
  <c r="CC41" i="89"/>
  <c r="CD41" i="89"/>
  <c r="CC42" i="89"/>
  <c r="CD42" i="89"/>
  <c r="CC43" i="89"/>
  <c r="CD43" i="89"/>
  <c r="CC44" i="89"/>
  <c r="CD44" i="89"/>
  <c r="CC45" i="89"/>
  <c r="CD45" i="89"/>
  <c r="CC46" i="89"/>
  <c r="CD46" i="89"/>
  <c r="CC47" i="89"/>
  <c r="CD47" i="89"/>
  <c r="CC48" i="89"/>
  <c r="CD48" i="89"/>
  <c r="CF170" i="82"/>
  <c r="CC172" i="82"/>
  <c r="CH174" i="82"/>
  <c r="CC175" i="82"/>
  <c r="CH175" i="82"/>
  <c r="CC176" i="82"/>
  <c r="CH176" i="82"/>
  <c r="CH177" i="82"/>
  <c r="CH178" i="82"/>
  <c r="CH179" i="82"/>
  <c r="CC180" i="82"/>
  <c r="CD180" i="82"/>
  <c r="CH180" i="82"/>
  <c r="CC181" i="82"/>
  <c r="CD181" i="82"/>
  <c r="CC192" i="82"/>
  <c r="CD192" i="82"/>
  <c r="CC193" i="82"/>
  <c r="CD193" i="82"/>
  <c r="CC194" i="82"/>
  <c r="CD194" i="82"/>
  <c r="CC195" i="82"/>
  <c r="CD195" i="82"/>
  <c r="CC196" i="82"/>
  <c r="CD196" i="82"/>
  <c r="CC197" i="82"/>
  <c r="CD197" i="82"/>
  <c r="CC198" i="82"/>
  <c r="CD198" i="82"/>
  <c r="CC199" i="82"/>
  <c r="CD199" i="82"/>
  <c r="CC200" i="82"/>
  <c r="CD200" i="82"/>
  <c r="CC201" i="82"/>
  <c r="CD201" i="82"/>
  <c r="CC202" i="82"/>
  <c r="CD202" i="82"/>
  <c r="CC203" i="82"/>
  <c r="CD203" i="82"/>
  <c r="CC204" i="82"/>
  <c r="CD204" i="82"/>
  <c r="CC205" i="82"/>
  <c r="CD205" i="82"/>
  <c r="CC206" i="82"/>
  <c r="CD206" i="82"/>
  <c r="CC207" i="82"/>
  <c r="CD207" i="82"/>
  <c r="CC208" i="82"/>
  <c r="CD208" i="82"/>
  <c r="CC209" i="82"/>
  <c r="CD209" i="82"/>
  <c r="CC210" i="82"/>
  <c r="CH210" i="82" s="1"/>
  <c r="CD210" i="82"/>
  <c r="CC211" i="82"/>
  <c r="CD211" i="82"/>
  <c r="CC212" i="82"/>
  <c r="CD212" i="82"/>
  <c r="CC213" i="82"/>
  <c r="CD213" i="82"/>
  <c r="CC214" i="82"/>
  <c r="CH214" i="82" s="1"/>
  <c r="CD214" i="82"/>
  <c r="CC215" i="82"/>
  <c r="CD215" i="82"/>
  <c r="CE215" i="82"/>
  <c r="CC216" i="82"/>
  <c r="CD216" i="82"/>
  <c r="CC217" i="82"/>
  <c r="CD217" i="82"/>
  <c r="CC218" i="82"/>
  <c r="CD218" i="82"/>
  <c r="CC219" i="82"/>
  <c r="CD219" i="82"/>
  <c r="CC220" i="82"/>
  <c r="CD220" i="82"/>
  <c r="CC221" i="82"/>
  <c r="CD221" i="82"/>
  <c r="CC222" i="82"/>
  <c r="CD222" i="82"/>
  <c r="CF110" i="82"/>
  <c r="CC112" i="82"/>
  <c r="CH114" i="82"/>
  <c r="CC115" i="82"/>
  <c r="CH115" i="82"/>
  <c r="CC116" i="82"/>
  <c r="CH116" i="82"/>
  <c r="CH117" i="82"/>
  <c r="CH118" i="82"/>
  <c r="CH119" i="82"/>
  <c r="CC120" i="82"/>
  <c r="CD120" i="82"/>
  <c r="CH120" i="82"/>
  <c r="CC121" i="82"/>
  <c r="CD121" i="82"/>
  <c r="CC132" i="82"/>
  <c r="CD132" i="82"/>
  <c r="CC133" i="82"/>
  <c r="CD133" i="82"/>
  <c r="CC134" i="82"/>
  <c r="CD134" i="82"/>
  <c r="CC135" i="82"/>
  <c r="CD135" i="82"/>
  <c r="CC136" i="82"/>
  <c r="CD136" i="82"/>
  <c r="CC137" i="82"/>
  <c r="CD137" i="82"/>
  <c r="CC138" i="82"/>
  <c r="CD138" i="82"/>
  <c r="CC139" i="82"/>
  <c r="CD139" i="82"/>
  <c r="CC140" i="82"/>
  <c r="CD140" i="82"/>
  <c r="CC141" i="82"/>
  <c r="CD141" i="82"/>
  <c r="CC142" i="82"/>
  <c r="CD142" i="82"/>
  <c r="CC143" i="82"/>
  <c r="CD143" i="82"/>
  <c r="CC144" i="82"/>
  <c r="CD144" i="82"/>
  <c r="CC145" i="82"/>
  <c r="CD145" i="82"/>
  <c r="CC146" i="82"/>
  <c r="CD146" i="82"/>
  <c r="CC147" i="82"/>
  <c r="CD147" i="82"/>
  <c r="CC148" i="82"/>
  <c r="CD148" i="82"/>
  <c r="CC149" i="82"/>
  <c r="CD149" i="82"/>
  <c r="CC150" i="82"/>
  <c r="CD150" i="82"/>
  <c r="CC151" i="82"/>
  <c r="CD151" i="82"/>
  <c r="CC152" i="82"/>
  <c r="CD152" i="82"/>
  <c r="CC153" i="82"/>
  <c r="CD153" i="82"/>
  <c r="CC154" i="82"/>
  <c r="CD154" i="82"/>
  <c r="CC155" i="82"/>
  <c r="CD155" i="82"/>
  <c r="CC156" i="82"/>
  <c r="CD156" i="82"/>
  <c r="CC157" i="82"/>
  <c r="CD157" i="82"/>
  <c r="CC158" i="82"/>
  <c r="CD158" i="82"/>
  <c r="CC159" i="82"/>
  <c r="CD159" i="82"/>
  <c r="CC160" i="82"/>
  <c r="CD160" i="82"/>
  <c r="CC161" i="82"/>
  <c r="CD161" i="82"/>
  <c r="CC162" i="82"/>
  <c r="CD162" i="82"/>
  <c r="CF60" i="82"/>
  <c r="CC62" i="82"/>
  <c r="CH64" i="82"/>
  <c r="CC65" i="82"/>
  <c r="CD65" i="82"/>
  <c r="CH65" i="82"/>
  <c r="CC66" i="82"/>
  <c r="CD66" i="82"/>
  <c r="CH66" i="82"/>
  <c r="CH67" i="82"/>
  <c r="CH68" i="82"/>
  <c r="CC77" i="82"/>
  <c r="CD77" i="82"/>
  <c r="CC78" i="82"/>
  <c r="CD78" i="82"/>
  <c r="CC79" i="82"/>
  <c r="CD79" i="82"/>
  <c r="CC80" i="82"/>
  <c r="CD80" i="82"/>
  <c r="CC81" i="82"/>
  <c r="CD81" i="82"/>
  <c r="CC82" i="82"/>
  <c r="CD82" i="82"/>
  <c r="CC83" i="82"/>
  <c r="CD83" i="82"/>
  <c r="CC84" i="82"/>
  <c r="CD84" i="82"/>
  <c r="CC85" i="82"/>
  <c r="CD85" i="82"/>
  <c r="CC86" i="82"/>
  <c r="CD86" i="82"/>
  <c r="CC87" i="82"/>
  <c r="CD87" i="82"/>
  <c r="CC88" i="82"/>
  <c r="CD88" i="82"/>
  <c r="CC89" i="82"/>
  <c r="CD89" i="82"/>
  <c r="CC90" i="82"/>
  <c r="CD90" i="82"/>
  <c r="CC91" i="82"/>
  <c r="CD91" i="82"/>
  <c r="CC92" i="82"/>
  <c r="CD92" i="82"/>
  <c r="CC93" i="82"/>
  <c r="CD93" i="82"/>
  <c r="CC94" i="82"/>
  <c r="CD94" i="82"/>
  <c r="CC95" i="82"/>
  <c r="CD95" i="82"/>
  <c r="CC96" i="82"/>
  <c r="CD96" i="82"/>
  <c r="CC97" i="82"/>
  <c r="CD97" i="82"/>
  <c r="CC98" i="82"/>
  <c r="CD98" i="82"/>
  <c r="CC99" i="82"/>
  <c r="CD99" i="82"/>
  <c r="CC100" i="82"/>
  <c r="CD100" i="82"/>
  <c r="CC101" i="82"/>
  <c r="CD101" i="82"/>
  <c r="CC102" i="82"/>
  <c r="CD102" i="82"/>
  <c r="CC103" i="82"/>
  <c r="CD103" i="82"/>
  <c r="CC104" i="82"/>
  <c r="CD104" i="82"/>
  <c r="CC105" i="82"/>
  <c r="CD105" i="82"/>
  <c r="CC106" i="82"/>
  <c r="CD106" i="82"/>
  <c r="CC107" i="82"/>
  <c r="CD107" i="82"/>
  <c r="CF1" i="82"/>
  <c r="CC3" i="82"/>
  <c r="CH5" i="82"/>
  <c r="CC6" i="82"/>
  <c r="CD6" i="82"/>
  <c r="CH6" i="82"/>
  <c r="CC7" i="82"/>
  <c r="CD7" i="82"/>
  <c r="CH7" i="82"/>
  <c r="CH8" i="82"/>
  <c r="CH9" i="82"/>
  <c r="CC18" i="82"/>
  <c r="CD18" i="82"/>
  <c r="CC19" i="82"/>
  <c r="CD19" i="82"/>
  <c r="CC20" i="82"/>
  <c r="CD20" i="82"/>
  <c r="CC21" i="82"/>
  <c r="CD21" i="82"/>
  <c r="CC22" i="82"/>
  <c r="CD22" i="82"/>
  <c r="CC23" i="82"/>
  <c r="CD23" i="82"/>
  <c r="CC24" i="82"/>
  <c r="CD24" i="82"/>
  <c r="CC25" i="82"/>
  <c r="CD25" i="82"/>
  <c r="CC26" i="82"/>
  <c r="CD26" i="82"/>
  <c r="CC27" i="82"/>
  <c r="CD27" i="82"/>
  <c r="CC28" i="82"/>
  <c r="CD28" i="82"/>
  <c r="CC29" i="82"/>
  <c r="CD29" i="82"/>
  <c r="CC30" i="82"/>
  <c r="CD30" i="82"/>
  <c r="CC31" i="82"/>
  <c r="CD31" i="82"/>
  <c r="CC32" i="82"/>
  <c r="CD32" i="82"/>
  <c r="CC33" i="82"/>
  <c r="CD33" i="82"/>
  <c r="CC34" i="82"/>
  <c r="CD34" i="82"/>
  <c r="CC35" i="82"/>
  <c r="CD35" i="82"/>
  <c r="CC36" i="82"/>
  <c r="CD36" i="82"/>
  <c r="CC37" i="82"/>
  <c r="CD37" i="82"/>
  <c r="CC38" i="82"/>
  <c r="CD38" i="82"/>
  <c r="CC39" i="82"/>
  <c r="CD39" i="82"/>
  <c r="CC40" i="82"/>
  <c r="CD40" i="82"/>
  <c r="CC41" i="82"/>
  <c r="CD41" i="82"/>
  <c r="CC42" i="82"/>
  <c r="CD42" i="82"/>
  <c r="CC43" i="82"/>
  <c r="CD43" i="82"/>
  <c r="CC44" i="82"/>
  <c r="CD44" i="82"/>
  <c r="CC45" i="82"/>
  <c r="CD45" i="82"/>
  <c r="CC46" i="82"/>
  <c r="CD46" i="82"/>
  <c r="CC47" i="82"/>
  <c r="CD47" i="82"/>
  <c r="CC48" i="82"/>
  <c r="CD48" i="82"/>
  <c r="CL208" i="82" l="1"/>
  <c r="CJ219" i="89"/>
  <c r="CE203" i="89"/>
  <c r="CC182" i="87"/>
  <c r="CJ213" i="85"/>
  <c r="CK177" i="89"/>
  <c r="CE220" i="89"/>
  <c r="CL117" i="85"/>
  <c r="CK118" i="85" s="1"/>
  <c r="CJ162" i="85"/>
  <c r="CK117" i="85"/>
  <c r="CL177" i="85"/>
  <c r="CK177" i="85"/>
  <c r="CK178" i="85" s="1"/>
  <c r="CJ217" i="89"/>
  <c r="CJ213" i="89"/>
  <c r="CJ209" i="89"/>
  <c r="CN214" i="89"/>
  <c r="CC8" i="87"/>
  <c r="CE92" i="85"/>
  <c r="CL157" i="87"/>
  <c r="CH151" i="82"/>
  <c r="CC177" i="82"/>
  <c r="CL213" i="82"/>
  <c r="CC8" i="89"/>
  <c r="CJ217" i="85"/>
  <c r="CJ221" i="85"/>
  <c r="CE132" i="85"/>
  <c r="CH96" i="85"/>
  <c r="CC67" i="85"/>
  <c r="CC126" i="82"/>
  <c r="CL141" i="82" s="1"/>
  <c r="CE102" i="85"/>
  <c r="CJ209" i="85"/>
  <c r="CN159" i="89"/>
  <c r="CC182" i="82"/>
  <c r="CN26" i="89"/>
  <c r="CL177" i="89"/>
  <c r="CK178" i="89" s="1"/>
  <c r="CE207" i="87"/>
  <c r="CL150" i="82"/>
  <c r="CL150" i="87"/>
  <c r="CL149" i="87"/>
  <c r="CJ105" i="89"/>
  <c r="CC122" i="82"/>
  <c r="CJ220" i="89"/>
  <c r="CL156" i="82"/>
  <c r="CL160" i="82"/>
  <c r="CH211" i="82"/>
  <c r="CJ156" i="89"/>
  <c r="CJ222" i="89"/>
  <c r="CJ215" i="89"/>
  <c r="CQ215" i="89" s="1"/>
  <c r="CJ211" i="89"/>
  <c r="CJ80" i="85"/>
  <c r="CE193" i="82"/>
  <c r="CE217" i="82"/>
  <c r="CN44" i="89"/>
  <c r="CE143" i="89"/>
  <c r="CK8" i="89"/>
  <c r="CE152" i="89"/>
  <c r="CM177" i="89"/>
  <c r="CL151" i="87"/>
  <c r="CL221" i="87"/>
  <c r="CL159" i="87"/>
  <c r="CE195" i="82"/>
  <c r="CE78" i="85"/>
  <c r="CN215" i="89"/>
  <c r="CC117" i="87"/>
  <c r="CE80" i="85"/>
  <c r="CE208" i="85"/>
  <c r="CE86" i="85"/>
  <c r="CE208" i="82"/>
  <c r="CE205" i="82"/>
  <c r="CE213" i="89"/>
  <c r="CI158" i="87"/>
  <c r="CI150" i="87"/>
  <c r="CN150" i="87" s="1"/>
  <c r="CH209" i="82"/>
  <c r="CN85" i="89"/>
  <c r="CE199" i="89"/>
  <c r="CL80" i="87"/>
  <c r="CE158" i="87"/>
  <c r="CK158" i="87" s="1"/>
  <c r="CE199" i="87"/>
  <c r="CL177" i="87"/>
  <c r="CE211" i="87"/>
  <c r="CE148" i="85"/>
  <c r="CH155" i="82"/>
  <c r="CE153" i="82"/>
  <c r="CL149" i="82"/>
  <c r="CE221" i="82"/>
  <c r="CH216" i="82"/>
  <c r="CE201" i="82"/>
  <c r="CE199" i="82"/>
  <c r="CK182" i="82"/>
  <c r="CN182" i="82" s="1"/>
  <c r="CJ152" i="89"/>
  <c r="CE146" i="89"/>
  <c r="CN148" i="89"/>
  <c r="CN218" i="89"/>
  <c r="CN212" i="89"/>
  <c r="CE210" i="89"/>
  <c r="CE207" i="89"/>
  <c r="CD182" i="89"/>
  <c r="CN213" i="89"/>
  <c r="CQ213" i="89" s="1"/>
  <c r="CI31" i="87"/>
  <c r="CL155" i="87"/>
  <c r="CE134" i="87"/>
  <c r="CL219" i="87"/>
  <c r="CL216" i="87"/>
  <c r="CI210" i="87"/>
  <c r="CH102" i="85"/>
  <c r="CI102" i="85" s="1"/>
  <c r="CH222" i="85"/>
  <c r="CE220" i="85"/>
  <c r="CJ219" i="85"/>
  <c r="CH218" i="85"/>
  <c r="CE216" i="85"/>
  <c r="CJ215" i="85"/>
  <c r="CH214" i="85"/>
  <c r="CE212" i="85"/>
  <c r="CJ211" i="85"/>
  <c r="CH210" i="85"/>
  <c r="CE207" i="85"/>
  <c r="CE192" i="85"/>
  <c r="CE200" i="85"/>
  <c r="CC177" i="85"/>
  <c r="CE133" i="82"/>
  <c r="CE88" i="82"/>
  <c r="CE162" i="82"/>
  <c r="CL158" i="82"/>
  <c r="CE152" i="82"/>
  <c r="CH212" i="82"/>
  <c r="CN161" i="89"/>
  <c r="CN222" i="89"/>
  <c r="CN209" i="89"/>
  <c r="CQ209" i="89" s="1"/>
  <c r="CI211" i="87"/>
  <c r="CE160" i="82"/>
  <c r="CE156" i="82"/>
  <c r="CL153" i="82"/>
  <c r="CE138" i="82"/>
  <c r="CC117" i="82"/>
  <c r="CH215" i="82"/>
  <c r="CK215" i="82" s="1"/>
  <c r="CL212" i="82"/>
  <c r="CE210" i="82"/>
  <c r="CU210" i="82" s="1"/>
  <c r="CY210" i="82" s="1"/>
  <c r="CE197" i="82"/>
  <c r="CC186" i="82"/>
  <c r="CL200" i="82" s="1"/>
  <c r="CL209" i="82"/>
  <c r="CE192" i="82"/>
  <c r="CN89" i="89"/>
  <c r="CN84" i="89"/>
  <c r="CM67" i="89"/>
  <c r="CN156" i="89"/>
  <c r="CQ156" i="89" s="1"/>
  <c r="CC122" i="89"/>
  <c r="CC117" i="89"/>
  <c r="CK117" i="89"/>
  <c r="CN217" i="89"/>
  <c r="CN211" i="89"/>
  <c r="CQ211" i="89" s="1"/>
  <c r="CJ210" i="89"/>
  <c r="CC177" i="89"/>
  <c r="CE215" i="87"/>
  <c r="CH86" i="85"/>
  <c r="CE156" i="85"/>
  <c r="CJ222" i="85"/>
  <c r="CH220" i="85"/>
  <c r="CG220" i="85" s="1"/>
  <c r="CJ218" i="85"/>
  <c r="CH216" i="85"/>
  <c r="CJ214" i="85"/>
  <c r="CK214" i="85" s="1"/>
  <c r="CH212" i="85"/>
  <c r="CJ210" i="85"/>
  <c r="CH208" i="85"/>
  <c r="CH213" i="82"/>
  <c r="CO213" i="82" s="1"/>
  <c r="CL210" i="82"/>
  <c r="CO210" i="82" s="1"/>
  <c r="CN158" i="89"/>
  <c r="CE150" i="89"/>
  <c r="CE139" i="89"/>
  <c r="CL162" i="82"/>
  <c r="CE158" i="82"/>
  <c r="CL152" i="82"/>
  <c r="CE139" i="82"/>
  <c r="CL215" i="82"/>
  <c r="CE213" i="82"/>
  <c r="CE212" i="82"/>
  <c r="CH208" i="82"/>
  <c r="CO208" i="82" s="1"/>
  <c r="CN92" i="89"/>
  <c r="CN152" i="89"/>
  <c r="CQ152" i="89" s="1"/>
  <c r="CN150" i="89"/>
  <c r="CN117" i="89"/>
  <c r="CN220" i="89"/>
  <c r="CN219" i="89"/>
  <c r="CQ219" i="89" s="1"/>
  <c r="CE217" i="89"/>
  <c r="CE211" i="89"/>
  <c r="CC182" i="89"/>
  <c r="CN177" i="89"/>
  <c r="CM178" i="89" s="1"/>
  <c r="CE195" i="89"/>
  <c r="CI99" i="87"/>
  <c r="CE133" i="87"/>
  <c r="CE92" i="82"/>
  <c r="CH152" i="82"/>
  <c r="CE104" i="89"/>
  <c r="CM117" i="89"/>
  <c r="CJ150" i="89"/>
  <c r="CL117" i="87"/>
  <c r="CE141" i="87"/>
  <c r="CE149" i="87"/>
  <c r="CE150" i="87"/>
  <c r="CL215" i="87"/>
  <c r="CI215" i="87"/>
  <c r="CE194" i="87"/>
  <c r="CE198" i="87"/>
  <c r="CE202" i="87"/>
  <c r="CE206" i="87"/>
  <c r="CE210" i="87"/>
  <c r="CE220" i="87"/>
  <c r="CL210" i="87"/>
  <c r="CL212" i="87"/>
  <c r="CL217" i="87"/>
  <c r="CL220" i="87"/>
  <c r="CK177" i="87"/>
  <c r="CH82" i="85"/>
  <c r="CH84" i="85"/>
  <c r="CH90" i="85"/>
  <c r="CH92" i="85"/>
  <c r="CG92" i="85" s="1"/>
  <c r="CH98" i="85"/>
  <c r="CH100" i="85"/>
  <c r="CH106" i="85"/>
  <c r="CE88" i="85"/>
  <c r="CE96" i="85"/>
  <c r="CE104" i="85"/>
  <c r="CE136" i="85"/>
  <c r="CE138" i="85"/>
  <c r="CE146" i="85"/>
  <c r="CE150" i="85"/>
  <c r="CE154" i="85"/>
  <c r="CE158" i="85"/>
  <c r="CE162" i="85"/>
  <c r="CE194" i="85"/>
  <c r="CE198" i="85"/>
  <c r="CE202" i="85"/>
  <c r="CE206" i="85"/>
  <c r="CE39" i="82"/>
  <c r="CD67" i="82"/>
  <c r="CL161" i="82"/>
  <c r="CE161" i="82"/>
  <c r="CL159" i="82"/>
  <c r="CE159" i="82"/>
  <c r="CL155" i="82"/>
  <c r="CE155" i="82"/>
  <c r="CL151" i="82"/>
  <c r="CE151" i="82"/>
  <c r="CE149" i="82"/>
  <c r="CL148" i="82"/>
  <c r="CE146" i="82"/>
  <c r="CE144" i="82"/>
  <c r="CE142" i="82"/>
  <c r="CE141" i="82"/>
  <c r="CE137" i="82"/>
  <c r="CE134" i="82"/>
  <c r="CE222" i="82"/>
  <c r="CE220" i="82"/>
  <c r="CL216" i="82"/>
  <c r="CE216" i="82"/>
  <c r="CU216" i="82" s="1"/>
  <c r="CY216" i="82" s="1"/>
  <c r="CL214" i="82"/>
  <c r="CO214" i="82" s="1"/>
  <c r="CE214" i="82"/>
  <c r="CU214" i="82" s="1"/>
  <c r="CY214" i="82" s="1"/>
  <c r="CL211" i="82"/>
  <c r="CE211" i="82"/>
  <c r="CU211" i="82" s="1"/>
  <c r="CY211" i="82" s="1"/>
  <c r="CE209" i="82"/>
  <c r="CE207" i="82"/>
  <c r="CE206" i="82"/>
  <c r="CD223" i="82"/>
  <c r="CE204" i="82"/>
  <c r="CE203" i="82"/>
  <c r="CE202" i="82"/>
  <c r="CE200" i="82"/>
  <c r="CE198" i="82"/>
  <c r="CE196" i="82"/>
  <c r="CE194" i="82"/>
  <c r="CC185" i="82"/>
  <c r="CH197" i="82" s="1"/>
  <c r="CN40" i="89"/>
  <c r="CN32" i="89"/>
  <c r="CE30" i="89"/>
  <c r="CM8" i="89"/>
  <c r="CJ41" i="89"/>
  <c r="CE96" i="89"/>
  <c r="CC72" i="89"/>
  <c r="CK67" i="89"/>
  <c r="CJ161" i="89"/>
  <c r="CE159" i="89"/>
  <c r="CJ158" i="89"/>
  <c r="CN154" i="89"/>
  <c r="CJ154" i="89"/>
  <c r="CD122" i="89"/>
  <c r="CL117" i="89"/>
  <c r="CE222" i="89"/>
  <c r="CM222" i="89" s="1"/>
  <c r="CE219" i="89"/>
  <c r="CM219" i="89" s="1"/>
  <c r="CJ218" i="89"/>
  <c r="CE218" i="89"/>
  <c r="CE215" i="89"/>
  <c r="CJ214" i="89"/>
  <c r="CE214" i="89"/>
  <c r="CN210" i="89"/>
  <c r="CE209" i="89"/>
  <c r="CM209" i="89" s="1"/>
  <c r="CE205" i="89"/>
  <c r="CE201" i="89"/>
  <c r="CE193" i="89"/>
  <c r="CL107" i="87"/>
  <c r="CE162" i="87"/>
  <c r="CI162" i="87"/>
  <c r="CK162" i="87" s="1"/>
  <c r="CL162" i="87"/>
  <c r="CL158" i="87"/>
  <c r="CN158" i="87" s="1"/>
  <c r="CE157" i="87"/>
  <c r="CE151" i="87"/>
  <c r="CE142" i="87"/>
  <c r="CI157" i="87"/>
  <c r="CC122" i="87"/>
  <c r="CI220" i="87"/>
  <c r="CE219" i="87"/>
  <c r="CI219" i="87"/>
  <c r="CE216" i="87"/>
  <c r="CI216" i="87"/>
  <c r="CL211" i="87"/>
  <c r="CE203" i="87"/>
  <c r="CE195" i="87"/>
  <c r="CH104" i="85"/>
  <c r="CE100" i="85"/>
  <c r="CH94" i="85"/>
  <c r="CE94" i="85"/>
  <c r="CH88" i="85"/>
  <c r="CE84" i="85"/>
  <c r="CE160" i="85"/>
  <c r="CE152" i="85"/>
  <c r="CE140" i="85"/>
  <c r="CE222" i="85"/>
  <c r="CJ220" i="85"/>
  <c r="CE218" i="85"/>
  <c r="CJ216" i="85"/>
  <c r="CE214" i="85"/>
  <c r="CJ212" i="85"/>
  <c r="CE210" i="85"/>
  <c r="CJ208" i="85"/>
  <c r="CE204" i="85"/>
  <c r="CE196" i="85"/>
  <c r="CL106" i="87"/>
  <c r="CL103" i="87"/>
  <c r="CL100" i="87"/>
  <c r="CL99" i="87"/>
  <c r="CL84" i="87"/>
  <c r="CE81" i="87"/>
  <c r="CE154" i="87"/>
  <c r="CI149" i="87"/>
  <c r="CN149" i="87" s="1"/>
  <c r="CE147" i="87"/>
  <c r="CE146" i="87"/>
  <c r="CE145" i="87"/>
  <c r="CE143" i="87"/>
  <c r="CE139" i="87"/>
  <c r="CE138" i="87"/>
  <c r="CE137" i="87"/>
  <c r="CE135" i="87"/>
  <c r="CD122" i="87"/>
  <c r="CE43" i="85"/>
  <c r="CE98" i="85"/>
  <c r="CE90" i="85"/>
  <c r="CE82" i="85"/>
  <c r="CJ78" i="85"/>
  <c r="CH78" i="85"/>
  <c r="CG78" i="85" s="1"/>
  <c r="CE144" i="85"/>
  <c r="CE142" i="85"/>
  <c r="CE134" i="85"/>
  <c r="CJ148" i="85"/>
  <c r="CE221" i="85"/>
  <c r="CE219" i="85"/>
  <c r="CE217" i="85"/>
  <c r="CE215" i="85"/>
  <c r="CE213" i="85"/>
  <c r="CE211" i="85"/>
  <c r="CE209" i="85"/>
  <c r="CG210" i="85"/>
  <c r="CE25" i="85"/>
  <c r="CE23" i="85"/>
  <c r="CE21" i="85"/>
  <c r="CH159" i="85"/>
  <c r="CJ159" i="85"/>
  <c r="CH151" i="85"/>
  <c r="CJ151" i="85"/>
  <c r="CI208" i="85"/>
  <c r="CE19" i="85"/>
  <c r="CH157" i="85"/>
  <c r="CJ157" i="85"/>
  <c r="CH149" i="85"/>
  <c r="CJ149" i="85"/>
  <c r="CG208" i="85"/>
  <c r="CJ33" i="85"/>
  <c r="CJ27" i="85"/>
  <c r="CH161" i="85"/>
  <c r="CJ161" i="85"/>
  <c r="CH153" i="85"/>
  <c r="CJ153" i="85"/>
  <c r="CC122" i="85"/>
  <c r="CH148" i="85"/>
  <c r="CH150" i="85"/>
  <c r="CH152" i="85"/>
  <c r="CG152" i="85" s="1"/>
  <c r="CH154" i="85"/>
  <c r="CH156" i="85"/>
  <c r="CH158" i="85"/>
  <c r="CH160" i="85"/>
  <c r="CH162" i="85"/>
  <c r="CH155" i="85"/>
  <c r="CJ155" i="85"/>
  <c r="CI210" i="85"/>
  <c r="CD223" i="85"/>
  <c r="CE47" i="85"/>
  <c r="CE45" i="85"/>
  <c r="CJ106" i="85"/>
  <c r="CH80" i="85"/>
  <c r="CJ160" i="85"/>
  <c r="CJ158" i="85"/>
  <c r="CJ156" i="85"/>
  <c r="CJ154" i="85"/>
  <c r="CK154" i="85" s="1"/>
  <c r="CJ152" i="85"/>
  <c r="CJ150" i="85"/>
  <c r="CE205" i="85"/>
  <c r="CE203" i="85"/>
  <c r="CE201" i="85"/>
  <c r="CE199" i="85"/>
  <c r="CE197" i="85"/>
  <c r="CE195" i="85"/>
  <c r="CE193" i="85"/>
  <c r="CC182" i="85"/>
  <c r="CE39" i="85"/>
  <c r="CE37" i="85"/>
  <c r="CE35" i="85"/>
  <c r="CH221" i="85"/>
  <c r="CK221" i="85" s="1"/>
  <c r="CH219" i="85"/>
  <c r="CH217" i="85"/>
  <c r="CH215" i="85"/>
  <c r="CH213" i="85"/>
  <c r="CK213" i="85" s="1"/>
  <c r="CH211" i="85"/>
  <c r="CH209" i="85"/>
  <c r="CK209" i="85" s="1"/>
  <c r="CE106" i="85"/>
  <c r="CE41" i="85"/>
  <c r="CH39" i="85"/>
  <c r="CC13" i="85"/>
  <c r="CJ37" i="85"/>
  <c r="CC72" i="85"/>
  <c r="CJ85" i="85"/>
  <c r="CJ84" i="85"/>
  <c r="CJ87" i="85"/>
  <c r="CJ89" i="85"/>
  <c r="CJ91" i="85"/>
  <c r="CJ93" i="85"/>
  <c r="CJ95" i="85"/>
  <c r="CJ97" i="85"/>
  <c r="CJ99" i="85"/>
  <c r="CJ101" i="85"/>
  <c r="CJ103" i="85"/>
  <c r="CJ82" i="85"/>
  <c r="CJ86" i="85"/>
  <c r="CJ88" i="85"/>
  <c r="CJ90" i="85"/>
  <c r="CJ92" i="85"/>
  <c r="CK67" i="85"/>
  <c r="CD163" i="85"/>
  <c r="CJ48" i="85"/>
  <c r="CJ40" i="85"/>
  <c r="CE27" i="85"/>
  <c r="CJ104" i="85"/>
  <c r="CJ102" i="85"/>
  <c r="CJ100" i="85"/>
  <c r="CJ98" i="85"/>
  <c r="CJ96" i="85"/>
  <c r="CK96" i="85" s="1"/>
  <c r="CJ94" i="85"/>
  <c r="CE161" i="85"/>
  <c r="CE159" i="85"/>
  <c r="CE157" i="85"/>
  <c r="CE155" i="85"/>
  <c r="CE153" i="85"/>
  <c r="CE151" i="85"/>
  <c r="CE149" i="85"/>
  <c r="CE147" i="85"/>
  <c r="CE145" i="85"/>
  <c r="CE143" i="85"/>
  <c r="CE141" i="85"/>
  <c r="CE139" i="85"/>
  <c r="CE137" i="85"/>
  <c r="CE135" i="85"/>
  <c r="CE133" i="85"/>
  <c r="CC8" i="85"/>
  <c r="CH19" i="85"/>
  <c r="CH21" i="85"/>
  <c r="CH23" i="85"/>
  <c r="CH25" i="85"/>
  <c r="CH27" i="85"/>
  <c r="CH29" i="85"/>
  <c r="CH31" i="85"/>
  <c r="CH33" i="85"/>
  <c r="CH89" i="85"/>
  <c r="CE89" i="85"/>
  <c r="CJ25" i="85"/>
  <c r="CH83" i="85"/>
  <c r="CJ83" i="85"/>
  <c r="CE83" i="85"/>
  <c r="CH79" i="85"/>
  <c r="CJ79" i="85"/>
  <c r="CE79" i="85"/>
  <c r="CL67" i="85"/>
  <c r="CH45" i="85"/>
  <c r="CH107" i="85"/>
  <c r="CE107" i="85"/>
  <c r="CH105" i="85"/>
  <c r="CE105" i="85"/>
  <c r="CJ18" i="85"/>
  <c r="CJ20" i="85"/>
  <c r="CJ22" i="85"/>
  <c r="CJ24" i="85"/>
  <c r="CJ41" i="85"/>
  <c r="CJ43" i="85"/>
  <c r="CJ45" i="85"/>
  <c r="CJ47" i="85"/>
  <c r="CJ28" i="85"/>
  <c r="CJ19" i="85"/>
  <c r="CJ21" i="85"/>
  <c r="CJ23" i="85"/>
  <c r="CJ26" i="85"/>
  <c r="CJ30" i="85"/>
  <c r="CJ32" i="85"/>
  <c r="CH43" i="85"/>
  <c r="CJ42" i="85"/>
  <c r="CH41" i="85"/>
  <c r="CJ35" i="85"/>
  <c r="CJ34" i="85"/>
  <c r="CH87" i="85"/>
  <c r="CE87" i="85"/>
  <c r="CJ44" i="85"/>
  <c r="CJ36" i="85"/>
  <c r="CH35" i="85"/>
  <c r="CJ31" i="85"/>
  <c r="CJ107" i="85"/>
  <c r="CJ105" i="85"/>
  <c r="CH103" i="85"/>
  <c r="CE103" i="85"/>
  <c r="CH101" i="85"/>
  <c r="CE101" i="85"/>
  <c r="CH99" i="85"/>
  <c r="CE99" i="85"/>
  <c r="CH97" i="85"/>
  <c r="CE97" i="85"/>
  <c r="CH95" i="85"/>
  <c r="CE95" i="85"/>
  <c r="CH93" i="85"/>
  <c r="CE93" i="85"/>
  <c r="CH85" i="85"/>
  <c r="CE85" i="85"/>
  <c r="CD108" i="85"/>
  <c r="CH47" i="85"/>
  <c r="CJ46" i="85"/>
  <c r="CJ39" i="85"/>
  <c r="CJ38" i="85"/>
  <c r="CH37" i="85"/>
  <c r="CJ29" i="85"/>
  <c r="CH91" i="85"/>
  <c r="CE91" i="85"/>
  <c r="CH81" i="85"/>
  <c r="CJ81" i="85"/>
  <c r="CE81" i="85"/>
  <c r="CH77" i="85"/>
  <c r="CJ77" i="85"/>
  <c r="CE77" i="85"/>
  <c r="CL8" i="85"/>
  <c r="CE33" i="85"/>
  <c r="CE31" i="85"/>
  <c r="CE29" i="85"/>
  <c r="CH44" i="85"/>
  <c r="CE44" i="85"/>
  <c r="CH36" i="85"/>
  <c r="CE36" i="85"/>
  <c r="CH28" i="85"/>
  <c r="CE28" i="85"/>
  <c r="CH20" i="85"/>
  <c r="CE20" i="85"/>
  <c r="CH42" i="85"/>
  <c r="CE42" i="85"/>
  <c r="CH34" i="85"/>
  <c r="CE34" i="85"/>
  <c r="CH26" i="85"/>
  <c r="CE26" i="85"/>
  <c r="CH48" i="85"/>
  <c r="CE48" i="85"/>
  <c r="CH40" i="85"/>
  <c r="CE40" i="85"/>
  <c r="CH32" i="85"/>
  <c r="CE32" i="85"/>
  <c r="CH24" i="85"/>
  <c r="CE24" i="85"/>
  <c r="CD49" i="85"/>
  <c r="CH18" i="85"/>
  <c r="CE18" i="85"/>
  <c r="CK8" i="85"/>
  <c r="CH46" i="85"/>
  <c r="CE46" i="85"/>
  <c r="CH38" i="85"/>
  <c r="CE38" i="85"/>
  <c r="CH30" i="85"/>
  <c r="CE30" i="85"/>
  <c r="CH22" i="85"/>
  <c r="CE22" i="85"/>
  <c r="CE161" i="87"/>
  <c r="CI161" i="87"/>
  <c r="CE153" i="87"/>
  <c r="CI153" i="87"/>
  <c r="CL218" i="87"/>
  <c r="CE218" i="87"/>
  <c r="CI218" i="87"/>
  <c r="CI39" i="87"/>
  <c r="CL213" i="87"/>
  <c r="CE213" i="87"/>
  <c r="CI213" i="87"/>
  <c r="CL161" i="87"/>
  <c r="CL154" i="87"/>
  <c r="CL153" i="87"/>
  <c r="CK117" i="87"/>
  <c r="CE221" i="87"/>
  <c r="CI221" i="87"/>
  <c r="CL214" i="87"/>
  <c r="CE214" i="87"/>
  <c r="CI214" i="87"/>
  <c r="CE208" i="87"/>
  <c r="CI208" i="87"/>
  <c r="CD223" i="87"/>
  <c r="CL222" i="87"/>
  <c r="CE222" i="87"/>
  <c r="CI222" i="87"/>
  <c r="CE217" i="87"/>
  <c r="CI217" i="87"/>
  <c r="CL209" i="87"/>
  <c r="CE209" i="87"/>
  <c r="CI209" i="87"/>
  <c r="CL28" i="87"/>
  <c r="CI154" i="87"/>
  <c r="CL208" i="87"/>
  <c r="CE212" i="87"/>
  <c r="CI212" i="87"/>
  <c r="CD182" i="87"/>
  <c r="CE32" i="87"/>
  <c r="CL25" i="87"/>
  <c r="CD163" i="87"/>
  <c r="CE204" i="87"/>
  <c r="CE200" i="87"/>
  <c r="CE196" i="87"/>
  <c r="CE192" i="87"/>
  <c r="CE205" i="87"/>
  <c r="CE201" i="87"/>
  <c r="CE197" i="87"/>
  <c r="CE193" i="87"/>
  <c r="CE41" i="87"/>
  <c r="CI41" i="87"/>
  <c r="CL67" i="87"/>
  <c r="CE88" i="87"/>
  <c r="CE92" i="87"/>
  <c r="CE95" i="87"/>
  <c r="CE96" i="87"/>
  <c r="CE80" i="87"/>
  <c r="CE84" i="87"/>
  <c r="CE87" i="87"/>
  <c r="CE91" i="87"/>
  <c r="CE99" i="87"/>
  <c r="CE103" i="87"/>
  <c r="CE106" i="87"/>
  <c r="CE107" i="87"/>
  <c r="CL156" i="87"/>
  <c r="CE156" i="87"/>
  <c r="CI156" i="87"/>
  <c r="CE35" i="87"/>
  <c r="CE23" i="87"/>
  <c r="CE19" i="87"/>
  <c r="CL160" i="87"/>
  <c r="CE160" i="87"/>
  <c r="CI160" i="87"/>
  <c r="CE155" i="87"/>
  <c r="CI155" i="87"/>
  <c r="CL152" i="87"/>
  <c r="CE152" i="87"/>
  <c r="CI152" i="87"/>
  <c r="CE136" i="87"/>
  <c r="CL45" i="87"/>
  <c r="CE42" i="87"/>
  <c r="CE36" i="87"/>
  <c r="CI32" i="87"/>
  <c r="CE104" i="87"/>
  <c r="CE97" i="87"/>
  <c r="CE89" i="87"/>
  <c r="CE83" i="87"/>
  <c r="CE82" i="87"/>
  <c r="CE159" i="87"/>
  <c r="CI159" i="87"/>
  <c r="CI35" i="87"/>
  <c r="CE31" i="87"/>
  <c r="CR31" i="87" s="1"/>
  <c r="CE24" i="87"/>
  <c r="CE102" i="87"/>
  <c r="CD108" i="87"/>
  <c r="CL89" i="87"/>
  <c r="CL97" i="87"/>
  <c r="CL81" i="87"/>
  <c r="CL88" i="87"/>
  <c r="CL92" i="87"/>
  <c r="CL96" i="87"/>
  <c r="CL102" i="87"/>
  <c r="CI79" i="87"/>
  <c r="CI102" i="87"/>
  <c r="CI95" i="87"/>
  <c r="CL148" i="87"/>
  <c r="CE148" i="87"/>
  <c r="CI148" i="87"/>
  <c r="CE144" i="87"/>
  <c r="CE140" i="87"/>
  <c r="CE45" i="87"/>
  <c r="CL33" i="87"/>
  <c r="CI45" i="87"/>
  <c r="CE90" i="87"/>
  <c r="CE86" i="87"/>
  <c r="CE77" i="87"/>
  <c r="CL46" i="87"/>
  <c r="CL40" i="87"/>
  <c r="CE100" i="87"/>
  <c r="CE94" i="87"/>
  <c r="CD72" i="87"/>
  <c r="CE79" i="87"/>
  <c r="CE132" i="87"/>
  <c r="CI151" i="87"/>
  <c r="CE46" i="87"/>
  <c r="CL42" i="87"/>
  <c r="CE40" i="87"/>
  <c r="CE39" i="87"/>
  <c r="CL36" i="87"/>
  <c r="CL8" i="87"/>
  <c r="CE20" i="87"/>
  <c r="CE27" i="87"/>
  <c r="CE28" i="87"/>
  <c r="CI107" i="87"/>
  <c r="CL101" i="87"/>
  <c r="CE101" i="87"/>
  <c r="CI98" i="87"/>
  <c r="CI92" i="87"/>
  <c r="CE98" i="87"/>
  <c r="CL98" i="87"/>
  <c r="CE85" i="87"/>
  <c r="CL85" i="87"/>
  <c r="CI77" i="87"/>
  <c r="CI81" i="87"/>
  <c r="CI85" i="87"/>
  <c r="CI89" i="87"/>
  <c r="CI93" i="87"/>
  <c r="CI97" i="87"/>
  <c r="CC67" i="87"/>
  <c r="CI78" i="87"/>
  <c r="CI82" i="87"/>
  <c r="CI86" i="87"/>
  <c r="CI90" i="87"/>
  <c r="CI94" i="87"/>
  <c r="CI80" i="87"/>
  <c r="CR80" i="87" s="1"/>
  <c r="CI83" i="87"/>
  <c r="CI88" i="87"/>
  <c r="CI91" i="87"/>
  <c r="CI96" i="87"/>
  <c r="CI100" i="87"/>
  <c r="CI104" i="87"/>
  <c r="CI101" i="87"/>
  <c r="CI105" i="87"/>
  <c r="CI46" i="87"/>
  <c r="CI40" i="87"/>
  <c r="CL24" i="87"/>
  <c r="CL32" i="87"/>
  <c r="CL21" i="87"/>
  <c r="CL29" i="87"/>
  <c r="CI19" i="87"/>
  <c r="CI20" i="87"/>
  <c r="CI27" i="87"/>
  <c r="CI28" i="87"/>
  <c r="CI106" i="87"/>
  <c r="CI103" i="87"/>
  <c r="CI87" i="87"/>
  <c r="CI42" i="87"/>
  <c r="CL41" i="87"/>
  <c r="CL37" i="87"/>
  <c r="CI36" i="87"/>
  <c r="CI24" i="87"/>
  <c r="CI23" i="87"/>
  <c r="CL20" i="87"/>
  <c r="CL105" i="87"/>
  <c r="CE105" i="87"/>
  <c r="CL104" i="87"/>
  <c r="CE93" i="87"/>
  <c r="CL93" i="87"/>
  <c r="CI84" i="87"/>
  <c r="CK8" i="87"/>
  <c r="CC72" i="87"/>
  <c r="CL78" i="87"/>
  <c r="CL82" i="87"/>
  <c r="CL86" i="87"/>
  <c r="CL90" i="87"/>
  <c r="CL94" i="87"/>
  <c r="CL79" i="87"/>
  <c r="CL83" i="87"/>
  <c r="CL87" i="87"/>
  <c r="CL91" i="87"/>
  <c r="CL95" i="87"/>
  <c r="CK67" i="87"/>
  <c r="CD13" i="87"/>
  <c r="CE78" i="87"/>
  <c r="CL77" i="87"/>
  <c r="CE47" i="87"/>
  <c r="CI47" i="87"/>
  <c r="CL47" i="87"/>
  <c r="CL44" i="87"/>
  <c r="CE44" i="87"/>
  <c r="CL48" i="87"/>
  <c r="CI48" i="87"/>
  <c r="CE48" i="87"/>
  <c r="CI44" i="87"/>
  <c r="CE18" i="87"/>
  <c r="CI18" i="87"/>
  <c r="CE38" i="87"/>
  <c r="CI38" i="87"/>
  <c r="CE22" i="87"/>
  <c r="CI22" i="87"/>
  <c r="CE34" i="87"/>
  <c r="CI34" i="87"/>
  <c r="CE25" i="87"/>
  <c r="CI25" i="87"/>
  <c r="CE43" i="87"/>
  <c r="CI43" i="87"/>
  <c r="CE30" i="87"/>
  <c r="CI30" i="87"/>
  <c r="CE26" i="87"/>
  <c r="CI26" i="87"/>
  <c r="CD49" i="87"/>
  <c r="CL43" i="87"/>
  <c r="CE33" i="87"/>
  <c r="CI33" i="87"/>
  <c r="CE37" i="87"/>
  <c r="CI37" i="87"/>
  <c r="CE29" i="87"/>
  <c r="CI29" i="87"/>
  <c r="CE21" i="87"/>
  <c r="CI21" i="87"/>
  <c r="CL18" i="87"/>
  <c r="CL22" i="87"/>
  <c r="CL26" i="87"/>
  <c r="CL30" i="87"/>
  <c r="CL34" i="87"/>
  <c r="CL38" i="87"/>
  <c r="CC13" i="87"/>
  <c r="CL19" i="87"/>
  <c r="CL23" i="87"/>
  <c r="CL27" i="87"/>
  <c r="CL31" i="87"/>
  <c r="CL35" i="87"/>
  <c r="CL39" i="87"/>
  <c r="CN45" i="89"/>
  <c r="CN81" i="89"/>
  <c r="CN96" i="89"/>
  <c r="CN24" i="89"/>
  <c r="CJ148" i="89"/>
  <c r="CE145" i="89"/>
  <c r="CE148" i="89"/>
  <c r="CE135" i="89"/>
  <c r="CE154" i="89"/>
  <c r="CE156" i="89"/>
  <c r="CM156" i="89" s="1"/>
  <c r="CE158" i="89"/>
  <c r="CE161" i="89"/>
  <c r="CW213" i="89"/>
  <c r="CM213" i="89"/>
  <c r="CE212" i="89"/>
  <c r="CJ212" i="89"/>
  <c r="CE206" i="89"/>
  <c r="CE202" i="89"/>
  <c r="CE216" i="89"/>
  <c r="CJ216" i="89"/>
  <c r="CE208" i="89"/>
  <c r="CJ208" i="89"/>
  <c r="CE98" i="89"/>
  <c r="CD223" i="89"/>
  <c r="CE221" i="89"/>
  <c r="CJ221" i="89"/>
  <c r="CN221" i="89"/>
  <c r="CQ220" i="89"/>
  <c r="CN18" i="89"/>
  <c r="CE103" i="89"/>
  <c r="CN77" i="89"/>
  <c r="CE100" i="89"/>
  <c r="CJ159" i="89"/>
  <c r="CN216" i="89"/>
  <c r="CN208" i="89"/>
  <c r="CD72" i="89"/>
  <c r="CN67" i="89"/>
  <c r="CE198" i="89"/>
  <c r="CE197" i="89"/>
  <c r="CE194" i="89"/>
  <c r="CE204" i="89"/>
  <c r="CE200" i="89"/>
  <c r="CE196" i="89"/>
  <c r="CE192" i="89"/>
  <c r="CE107" i="89"/>
  <c r="CN102" i="89"/>
  <c r="CE102" i="89"/>
  <c r="CE99" i="89"/>
  <c r="CE94" i="89"/>
  <c r="CN79" i="89"/>
  <c r="CN83" i="89"/>
  <c r="CN87" i="89"/>
  <c r="CN91" i="89"/>
  <c r="CN99" i="89"/>
  <c r="CC67" i="89"/>
  <c r="CN78" i="89"/>
  <c r="CN82" i="89"/>
  <c r="CN86" i="89"/>
  <c r="CN90" i="89"/>
  <c r="CN94" i="89"/>
  <c r="CN98" i="89"/>
  <c r="CN106" i="89"/>
  <c r="CE106" i="89"/>
  <c r="CJ103" i="89"/>
  <c r="CJ107" i="89"/>
  <c r="CJ101" i="89"/>
  <c r="CN88" i="89"/>
  <c r="CN80" i="89"/>
  <c r="CE162" i="89"/>
  <c r="CJ162" i="89"/>
  <c r="CN162" i="89"/>
  <c r="CE160" i="89"/>
  <c r="CJ160" i="89"/>
  <c r="CN160" i="89"/>
  <c r="CD163" i="89"/>
  <c r="CE138" i="89"/>
  <c r="CN104" i="89"/>
  <c r="CN100" i="89"/>
  <c r="CE157" i="89"/>
  <c r="CJ157" i="89"/>
  <c r="CN157" i="89"/>
  <c r="CE155" i="89"/>
  <c r="CJ155" i="89"/>
  <c r="CN155" i="89"/>
  <c r="CE153" i="89"/>
  <c r="CJ153" i="89"/>
  <c r="CN153" i="89"/>
  <c r="CE151" i="89"/>
  <c r="CJ151" i="89"/>
  <c r="CN151" i="89"/>
  <c r="CE149" i="89"/>
  <c r="CJ149" i="89"/>
  <c r="CN149" i="89"/>
  <c r="CE147" i="89"/>
  <c r="CE133" i="89"/>
  <c r="CE137" i="89"/>
  <c r="CE141" i="89"/>
  <c r="CN30" i="89"/>
  <c r="CE41" i="89"/>
  <c r="CL8" i="89"/>
  <c r="CK9" i="89" s="1"/>
  <c r="CE105" i="89"/>
  <c r="CE101" i="89"/>
  <c r="CL67" i="89"/>
  <c r="CE142" i="89"/>
  <c r="CE134" i="89"/>
  <c r="CE144" i="89"/>
  <c r="CE140" i="89"/>
  <c r="CE136" i="89"/>
  <c r="CE132" i="89"/>
  <c r="CE37" i="89"/>
  <c r="CE23" i="89"/>
  <c r="CD108" i="89"/>
  <c r="CE48" i="89"/>
  <c r="CE43" i="89"/>
  <c r="CE42" i="89"/>
  <c r="CE39" i="89"/>
  <c r="CE38" i="89"/>
  <c r="CE34" i="89"/>
  <c r="CE25" i="89"/>
  <c r="CJ34" i="89"/>
  <c r="CJ37" i="89"/>
  <c r="CJ32" i="89"/>
  <c r="CE36" i="89"/>
  <c r="CE28" i="89"/>
  <c r="CE45" i="89"/>
  <c r="CN19" i="89"/>
  <c r="CN20" i="89"/>
  <c r="CN36" i="89"/>
  <c r="CN38" i="89"/>
  <c r="CN39" i="89"/>
  <c r="CN41" i="89"/>
  <c r="CN42" i="89"/>
  <c r="CN43" i="89"/>
  <c r="CN22" i="89"/>
  <c r="CN28" i="89"/>
  <c r="CN34" i="89"/>
  <c r="CN35" i="89"/>
  <c r="CN37" i="89"/>
  <c r="CN47" i="89"/>
  <c r="CN107" i="89"/>
  <c r="CN105" i="89"/>
  <c r="CN103" i="89"/>
  <c r="CN101" i="89"/>
  <c r="CJ77" i="89"/>
  <c r="CJ78" i="89"/>
  <c r="CJ79" i="89"/>
  <c r="CJ80" i="89"/>
  <c r="CJ81" i="89"/>
  <c r="CJ82" i="89"/>
  <c r="CJ83" i="89"/>
  <c r="CJ84" i="89"/>
  <c r="CJ85" i="89"/>
  <c r="CJ86" i="89"/>
  <c r="CJ87" i="89"/>
  <c r="CJ88" i="89"/>
  <c r="CJ89" i="89"/>
  <c r="CJ90" i="89"/>
  <c r="CJ91" i="89"/>
  <c r="CJ92" i="89"/>
  <c r="CJ93" i="89"/>
  <c r="CJ95" i="89"/>
  <c r="CJ97" i="89"/>
  <c r="CJ99" i="89"/>
  <c r="CJ100" i="89"/>
  <c r="CJ102" i="89"/>
  <c r="CJ104" i="89"/>
  <c r="CJ106" i="89"/>
  <c r="CJ94" i="89"/>
  <c r="CJ96" i="89"/>
  <c r="CJ98" i="89"/>
  <c r="CE44" i="89"/>
  <c r="CE40" i="89"/>
  <c r="CE21" i="89"/>
  <c r="CN8" i="89"/>
  <c r="CE47" i="89"/>
  <c r="CE35" i="89"/>
  <c r="CE32" i="89"/>
  <c r="CE27" i="89"/>
  <c r="CE19" i="89"/>
  <c r="CD13" i="89"/>
  <c r="CE97" i="89"/>
  <c r="CN97" i="89"/>
  <c r="CE95" i="89"/>
  <c r="CN95" i="89"/>
  <c r="CE93" i="89"/>
  <c r="CN93" i="89"/>
  <c r="CE78" i="89"/>
  <c r="CE80" i="89"/>
  <c r="CE82" i="89"/>
  <c r="CE84" i="89"/>
  <c r="CE86" i="89"/>
  <c r="CE88" i="89"/>
  <c r="CE90" i="89"/>
  <c r="CE92" i="89"/>
  <c r="CE77" i="89"/>
  <c r="CE79" i="89"/>
  <c r="CE81" i="89"/>
  <c r="CE83" i="89"/>
  <c r="CE85" i="89"/>
  <c r="CE87" i="89"/>
  <c r="CE89" i="89"/>
  <c r="CE91" i="89"/>
  <c r="CC13" i="89"/>
  <c r="CJ19" i="89"/>
  <c r="CJ21" i="89"/>
  <c r="CW21" i="89" s="1"/>
  <c r="CJ23" i="89"/>
  <c r="CJ25" i="89"/>
  <c r="CJ27" i="89"/>
  <c r="CJ29" i="89"/>
  <c r="CJ31" i="89"/>
  <c r="CJ33" i="89"/>
  <c r="CJ28" i="89"/>
  <c r="CJ35" i="89"/>
  <c r="CJ36" i="89"/>
  <c r="CJ39" i="89"/>
  <c r="CJ40" i="89"/>
  <c r="CJ43" i="89"/>
  <c r="CJ44" i="89"/>
  <c r="CJ46" i="89"/>
  <c r="CJ48" i="89"/>
  <c r="CN48" i="89"/>
  <c r="CE46" i="89"/>
  <c r="CN46" i="89"/>
  <c r="CJ42" i="89"/>
  <c r="CE33" i="89"/>
  <c r="CN33" i="89"/>
  <c r="CJ30" i="89"/>
  <c r="CJ26" i="89"/>
  <c r="CJ24" i="89"/>
  <c r="CJ22" i="89"/>
  <c r="CJ20" i="89"/>
  <c r="CJ18" i="89"/>
  <c r="CJ47" i="89"/>
  <c r="CJ45" i="89"/>
  <c r="CJ38" i="89"/>
  <c r="CD49" i="89"/>
  <c r="CE29" i="89"/>
  <c r="CN29" i="89"/>
  <c r="CE31" i="89"/>
  <c r="CN31" i="89"/>
  <c r="CE18" i="89"/>
  <c r="CE20" i="89"/>
  <c r="CE22" i="89"/>
  <c r="CE24" i="89"/>
  <c r="CE26" i="89"/>
  <c r="CN27" i="89"/>
  <c r="CN25" i="89"/>
  <c r="CN23" i="89"/>
  <c r="CN21" i="89"/>
  <c r="CE80" i="82"/>
  <c r="CE94" i="82"/>
  <c r="CE81" i="82"/>
  <c r="CH157" i="82"/>
  <c r="CE157" i="82"/>
  <c r="CH154" i="82"/>
  <c r="CE154" i="82"/>
  <c r="CE102" i="82"/>
  <c r="CE91" i="82"/>
  <c r="CE87" i="82"/>
  <c r="CE78" i="82"/>
  <c r="CL157" i="82"/>
  <c r="CL154" i="82"/>
  <c r="CE104" i="82"/>
  <c r="CE77" i="82"/>
  <c r="CE145" i="82"/>
  <c r="CC70" i="82"/>
  <c r="CH98" i="82" s="1"/>
  <c r="CH150" i="82"/>
  <c r="CE150" i="82"/>
  <c r="CH218" i="82"/>
  <c r="CL218" i="82"/>
  <c r="CE23" i="82"/>
  <c r="CC67" i="82"/>
  <c r="CH161" i="82"/>
  <c r="CO161" i="82" s="1"/>
  <c r="CH158" i="82"/>
  <c r="CH219" i="82"/>
  <c r="CL219" i="82"/>
  <c r="CE105" i="82"/>
  <c r="CE103" i="82"/>
  <c r="CE97" i="82"/>
  <c r="CE82" i="82"/>
  <c r="CH153" i="82"/>
  <c r="CH149" i="82"/>
  <c r="CK122" i="82"/>
  <c r="CN122" i="82" s="1"/>
  <c r="CE132" i="82"/>
  <c r="CE136" i="82"/>
  <c r="CE140" i="82"/>
  <c r="CE143" i="82"/>
  <c r="CH220" i="82"/>
  <c r="CL220" i="82"/>
  <c r="CE218" i="82"/>
  <c r="CH222" i="82"/>
  <c r="CL222" i="82"/>
  <c r="CE21" i="82"/>
  <c r="CH162" i="82"/>
  <c r="CH160" i="82"/>
  <c r="CH159" i="82"/>
  <c r="CO159" i="82" s="1"/>
  <c r="CH148" i="82"/>
  <c r="CE18" i="82"/>
  <c r="CH156" i="82"/>
  <c r="CO156" i="82" s="1"/>
  <c r="CE148" i="82"/>
  <c r="CE147" i="82"/>
  <c r="CE135" i="82"/>
  <c r="CC125" i="82"/>
  <c r="CH143" i="82" s="1"/>
  <c r="CH221" i="82"/>
  <c r="CL221" i="82"/>
  <c r="CE219" i="82"/>
  <c r="CH217" i="82"/>
  <c r="CL217" i="82"/>
  <c r="CU215" i="82"/>
  <c r="CY215" i="82" s="1"/>
  <c r="CD182" i="82"/>
  <c r="CD163" i="82"/>
  <c r="CO158" i="82"/>
  <c r="CC71" i="82"/>
  <c r="CL78" i="82" s="1"/>
  <c r="CC8" i="82"/>
  <c r="CD108" i="82"/>
  <c r="CE107" i="82"/>
  <c r="CE106" i="82"/>
  <c r="CE99" i="82"/>
  <c r="CE98" i="82"/>
  <c r="CE96" i="82"/>
  <c r="CE90" i="82"/>
  <c r="CE79" i="82"/>
  <c r="CE28" i="82"/>
  <c r="CE35" i="82"/>
  <c r="CE29" i="82"/>
  <c r="CE20" i="82"/>
  <c r="CD8" i="82"/>
  <c r="CE101" i="82"/>
  <c r="CE100" i="82"/>
  <c r="CE95" i="82"/>
  <c r="CE86" i="82"/>
  <c r="CE85" i="82"/>
  <c r="CE84" i="82"/>
  <c r="CD122" i="82"/>
  <c r="CE48" i="82"/>
  <c r="CE41" i="82"/>
  <c r="CE40" i="82"/>
  <c r="CE31" i="82"/>
  <c r="CE30" i="82"/>
  <c r="CE27" i="82"/>
  <c r="CE24" i="82"/>
  <c r="CE22" i="82"/>
  <c r="CE47" i="82"/>
  <c r="CE34" i="82"/>
  <c r="CE33" i="82"/>
  <c r="CE32" i="82"/>
  <c r="CE46" i="82"/>
  <c r="CC12" i="82"/>
  <c r="CL38" i="82" s="1"/>
  <c r="CE19" i="82"/>
  <c r="CE25" i="82"/>
  <c r="CE26" i="82"/>
  <c r="CE36" i="82"/>
  <c r="CE37" i="82"/>
  <c r="CE38" i="82"/>
  <c r="CE45" i="82"/>
  <c r="CC11" i="82"/>
  <c r="CH18" i="82" s="1"/>
  <c r="CE93" i="82"/>
  <c r="CE89" i="82"/>
  <c r="CE83" i="82"/>
  <c r="CE44" i="82"/>
  <c r="CE43" i="82"/>
  <c r="CE42" i="82"/>
  <c r="CD49" i="82"/>
  <c r="CO149" i="82" l="1"/>
  <c r="CK37" i="85"/>
  <c r="CG162" i="85"/>
  <c r="CN32" i="87"/>
  <c r="CR99" i="87"/>
  <c r="CM215" i="89"/>
  <c r="CR150" i="87"/>
  <c r="CK161" i="82"/>
  <c r="CK220" i="87"/>
  <c r="CI216" i="85"/>
  <c r="CL137" i="82"/>
  <c r="CM152" i="89"/>
  <c r="CM101" i="89"/>
  <c r="CQ217" i="89"/>
  <c r="CR211" i="87"/>
  <c r="CL143" i="82"/>
  <c r="CL138" i="82"/>
  <c r="CL140" i="82"/>
  <c r="CK160" i="82"/>
  <c r="CR92" i="87"/>
  <c r="CL147" i="82"/>
  <c r="CU158" i="82"/>
  <c r="CY158" i="82" s="1"/>
  <c r="CO150" i="82"/>
  <c r="CI222" i="85"/>
  <c r="CO211" i="82"/>
  <c r="CL139" i="82"/>
  <c r="CL134" i="82"/>
  <c r="CK162" i="82"/>
  <c r="CL135" i="82"/>
  <c r="CR88" i="87"/>
  <c r="CK84" i="85"/>
  <c r="CK217" i="85"/>
  <c r="CI80" i="85"/>
  <c r="CQ218" i="89"/>
  <c r="CK155" i="82"/>
  <c r="CM211" i="89"/>
  <c r="CK222" i="85"/>
  <c r="CL132" i="82"/>
  <c r="CL142" i="82"/>
  <c r="CL146" i="82"/>
  <c r="CO148" i="82"/>
  <c r="CL136" i="82"/>
  <c r="CL145" i="82"/>
  <c r="CW32" i="89"/>
  <c r="CW96" i="89"/>
  <c r="CQ105" i="89"/>
  <c r="CR36" i="87"/>
  <c r="CR81" i="87"/>
  <c r="CK211" i="85"/>
  <c r="CK219" i="85"/>
  <c r="CG82" i="85"/>
  <c r="CI218" i="85"/>
  <c r="CQ214" i="89"/>
  <c r="CO155" i="82"/>
  <c r="CN210" i="87"/>
  <c r="CW217" i="89"/>
  <c r="CK212" i="82"/>
  <c r="CQ222" i="89"/>
  <c r="CL133" i="82"/>
  <c r="CL144" i="82"/>
  <c r="CK45" i="87"/>
  <c r="CN215" i="87"/>
  <c r="CQ210" i="89"/>
  <c r="CW220" i="89"/>
  <c r="CK154" i="82"/>
  <c r="CK209" i="82"/>
  <c r="CR210" i="87"/>
  <c r="CU155" i="82"/>
  <c r="CY155" i="82" s="1"/>
  <c r="CM44" i="89"/>
  <c r="CQ32" i="89"/>
  <c r="CK210" i="87"/>
  <c r="CM220" i="89"/>
  <c r="CU208" i="82"/>
  <c r="CY208" i="82" s="1"/>
  <c r="CK214" i="82"/>
  <c r="CN27" i="87"/>
  <c r="CM107" i="89"/>
  <c r="CW209" i="89"/>
  <c r="CG214" i="85"/>
  <c r="CU151" i="82"/>
  <c r="CY151" i="82" s="1"/>
  <c r="CW28" i="89"/>
  <c r="CQ101" i="89"/>
  <c r="CK68" i="89"/>
  <c r="CW222" i="89"/>
  <c r="CK216" i="87"/>
  <c r="CW218" i="89"/>
  <c r="CO151" i="82"/>
  <c r="CG86" i="85"/>
  <c r="CI86" i="85"/>
  <c r="CG96" i="85"/>
  <c r="CK98" i="85"/>
  <c r="CK102" i="85"/>
  <c r="CI96" i="85"/>
  <c r="CG98" i="85"/>
  <c r="CI82" i="85"/>
  <c r="CI104" i="85"/>
  <c r="CG90" i="85"/>
  <c r="CI78" i="85"/>
  <c r="CK104" i="85"/>
  <c r="CM210" i="89"/>
  <c r="CM161" i="89"/>
  <c r="CG222" i="85"/>
  <c r="CK210" i="82"/>
  <c r="CK208" i="82"/>
  <c r="CR32" i="87"/>
  <c r="CG102" i="85"/>
  <c r="CK80" i="85"/>
  <c r="CU209" i="82"/>
  <c r="CY209" i="82" s="1"/>
  <c r="CW152" i="89"/>
  <c r="CN41" i="87"/>
  <c r="CK211" i="87"/>
  <c r="CN211" i="87"/>
  <c r="CK208" i="85"/>
  <c r="CK118" i="89"/>
  <c r="CK152" i="82"/>
  <c r="CQ107" i="89"/>
  <c r="CO160" i="82"/>
  <c r="CK78" i="85"/>
  <c r="CW158" i="89"/>
  <c r="CI100" i="85"/>
  <c r="CN220" i="87"/>
  <c r="CM150" i="89"/>
  <c r="CK97" i="85"/>
  <c r="CI148" i="85"/>
  <c r="CR216" i="87"/>
  <c r="CK106" i="85"/>
  <c r="CK82" i="85"/>
  <c r="CG84" i="85"/>
  <c r="CI25" i="85"/>
  <c r="CH47" i="82"/>
  <c r="CK47" i="82" s="1"/>
  <c r="CH48" i="82"/>
  <c r="CK48" i="82" s="1"/>
  <c r="CH28" i="82"/>
  <c r="CK28" i="82" s="1"/>
  <c r="CK215" i="85"/>
  <c r="CG218" i="85"/>
  <c r="CK19" i="87"/>
  <c r="CQ158" i="89"/>
  <c r="CN216" i="87"/>
  <c r="CG25" i="85"/>
  <c r="CK88" i="85"/>
  <c r="CI94" i="85"/>
  <c r="CN219" i="87"/>
  <c r="CQ161" i="89"/>
  <c r="CL201" i="82"/>
  <c r="CM9" i="89"/>
  <c r="CR41" i="87"/>
  <c r="CK32" i="87"/>
  <c r="CK38" i="85"/>
  <c r="CK162" i="85"/>
  <c r="CK86" i="85"/>
  <c r="CI156" i="85"/>
  <c r="CK216" i="82"/>
  <c r="CL205" i="82"/>
  <c r="CU160" i="82"/>
  <c r="CY160" i="82" s="1"/>
  <c r="CK210" i="85"/>
  <c r="CO162" i="82"/>
  <c r="CM42" i="89"/>
  <c r="CK151" i="82"/>
  <c r="CK211" i="82"/>
  <c r="CW210" i="89"/>
  <c r="CW159" i="89"/>
  <c r="CN24" i="87"/>
  <c r="CI162" i="85"/>
  <c r="CK157" i="85"/>
  <c r="CR162" i="87"/>
  <c r="CO216" i="82"/>
  <c r="CG104" i="85"/>
  <c r="CI84" i="85"/>
  <c r="CR220" i="87"/>
  <c r="CK150" i="87"/>
  <c r="CU212" i="82"/>
  <c r="CY212" i="82" s="1"/>
  <c r="CW150" i="89"/>
  <c r="CK216" i="85"/>
  <c r="CK158" i="82"/>
  <c r="CM218" i="89"/>
  <c r="CR24" i="87"/>
  <c r="CR158" i="87"/>
  <c r="CI106" i="85"/>
  <c r="CI98" i="85"/>
  <c r="CO212" i="82"/>
  <c r="CO209" i="82"/>
  <c r="CW30" i="89"/>
  <c r="CM103" i="89"/>
  <c r="CN46" i="87"/>
  <c r="CK28" i="87"/>
  <c r="CK157" i="87"/>
  <c r="CQ154" i="89"/>
  <c r="CW41" i="89"/>
  <c r="CK99" i="87"/>
  <c r="CM118" i="89"/>
  <c r="CL193" i="82"/>
  <c r="CH33" i="82"/>
  <c r="CK33" i="82" s="1"/>
  <c r="CH30" i="82"/>
  <c r="CK30" i="82" s="1"/>
  <c r="CH21" i="82"/>
  <c r="CU21" i="82" s="1"/>
  <c r="CY21" i="82" s="1"/>
  <c r="CK102" i="87"/>
  <c r="CG45" i="85"/>
  <c r="CK149" i="82"/>
  <c r="CU161" i="82"/>
  <c r="CY161" i="82" s="1"/>
  <c r="CG88" i="85"/>
  <c r="CK212" i="85"/>
  <c r="CK220" i="85"/>
  <c r="CK215" i="87"/>
  <c r="CU154" i="82"/>
  <c r="CY154" i="82" s="1"/>
  <c r="CO153" i="82"/>
  <c r="CO157" i="82"/>
  <c r="CM41" i="89"/>
  <c r="CW156" i="89"/>
  <c r="CM68" i="89"/>
  <c r="CM158" i="89"/>
  <c r="CW148" i="89"/>
  <c r="CN31" i="87"/>
  <c r="CR28" i="87"/>
  <c r="CK31" i="87"/>
  <c r="CR84" i="87"/>
  <c r="CR103" i="87"/>
  <c r="CN28" i="87"/>
  <c r="CK35" i="87"/>
  <c r="CK41" i="87"/>
  <c r="CR215" i="87"/>
  <c r="CR219" i="87"/>
  <c r="CK22" i="85"/>
  <c r="CK32" i="85"/>
  <c r="CG31" i="85"/>
  <c r="CG94" i="85"/>
  <c r="CG100" i="85"/>
  <c r="CG43" i="85"/>
  <c r="CG33" i="85"/>
  <c r="CK92" i="85"/>
  <c r="CK100" i="85"/>
  <c r="CI39" i="85"/>
  <c r="CK218" i="85"/>
  <c r="CI158" i="85"/>
  <c r="CI150" i="85"/>
  <c r="CG216" i="85"/>
  <c r="CK219" i="87"/>
  <c r="CU159" i="82"/>
  <c r="CY159" i="82" s="1"/>
  <c r="CI154" i="85"/>
  <c r="CK178" i="87"/>
  <c r="CO152" i="82"/>
  <c r="CQ150" i="89"/>
  <c r="CL199" i="82"/>
  <c r="CL192" i="82"/>
  <c r="CL198" i="82"/>
  <c r="CU149" i="82"/>
  <c r="CY149" i="82" s="1"/>
  <c r="CU153" i="82"/>
  <c r="CY153" i="82" s="1"/>
  <c r="CU162" i="82"/>
  <c r="CY162" i="82" s="1"/>
  <c r="CM214" i="89"/>
  <c r="CK24" i="85"/>
  <c r="CK39" i="85"/>
  <c r="CI92" i="85"/>
  <c r="CR149" i="87"/>
  <c r="CO215" i="82"/>
  <c r="CK148" i="82"/>
  <c r="CK153" i="82"/>
  <c r="CK159" i="82"/>
  <c r="CU152" i="82"/>
  <c r="CY152" i="82" s="1"/>
  <c r="CU148" i="82"/>
  <c r="CY148" i="82" s="1"/>
  <c r="CU213" i="82"/>
  <c r="CY213" i="82" s="1"/>
  <c r="CW39" i="89"/>
  <c r="CW161" i="89"/>
  <c r="CW214" i="89"/>
  <c r="CM217" i="89"/>
  <c r="CN39" i="87"/>
  <c r="CN23" i="87"/>
  <c r="CK92" i="87"/>
  <c r="CN79" i="87"/>
  <c r="CK39" i="87"/>
  <c r="CK149" i="87"/>
  <c r="CR154" i="87"/>
  <c r="CI88" i="85"/>
  <c r="CG39" i="85"/>
  <c r="CG41" i="85"/>
  <c r="CK68" i="85"/>
  <c r="CI21" i="85"/>
  <c r="CG154" i="85"/>
  <c r="CK90" i="85"/>
  <c r="CG212" i="85"/>
  <c r="CI212" i="85"/>
  <c r="CI220" i="85"/>
  <c r="CW219" i="89"/>
  <c r="CL197" i="82"/>
  <c r="CO197" i="82" s="1"/>
  <c r="CW211" i="89"/>
  <c r="CN99" i="87"/>
  <c r="CI90" i="85"/>
  <c r="CG106" i="85"/>
  <c r="CK94" i="85"/>
  <c r="CN157" i="87"/>
  <c r="CK213" i="82"/>
  <c r="CK143" i="82"/>
  <c r="CK156" i="82"/>
  <c r="CU222" i="82"/>
  <c r="CY222" i="82" s="1"/>
  <c r="CQ41" i="89"/>
  <c r="CW215" i="89"/>
  <c r="CM154" i="89"/>
  <c r="CK46" i="87"/>
  <c r="CR79" i="87"/>
  <c r="CK118" i="87"/>
  <c r="CK89" i="85"/>
  <c r="CI214" i="85"/>
  <c r="CL196" i="82"/>
  <c r="CL194" i="82"/>
  <c r="CL202" i="82"/>
  <c r="CL203" i="82"/>
  <c r="CL195" i="82"/>
  <c r="CL207" i="82"/>
  <c r="CL206" i="82"/>
  <c r="CL204" i="82"/>
  <c r="CH40" i="82"/>
  <c r="CK40" i="82" s="1"/>
  <c r="CL27" i="82"/>
  <c r="CK18" i="82"/>
  <c r="CH44" i="82"/>
  <c r="CK44" i="82" s="1"/>
  <c r="CH27" i="82"/>
  <c r="CK27" i="82" s="1"/>
  <c r="CH29" i="82"/>
  <c r="CU29" i="82" s="1"/>
  <c r="CY29" i="82" s="1"/>
  <c r="CK5" i="82"/>
  <c r="CN6" i="82" s="1"/>
  <c r="CH43" i="82"/>
  <c r="CH25" i="82"/>
  <c r="CK25" i="82" s="1"/>
  <c r="CH26" i="82"/>
  <c r="CK26" i="82" s="1"/>
  <c r="CH24" i="82"/>
  <c r="CK24" i="82" s="1"/>
  <c r="CH20" i="82"/>
  <c r="CK20" i="82" s="1"/>
  <c r="CL101" i="82"/>
  <c r="CL77" i="82"/>
  <c r="CL47" i="82"/>
  <c r="CL104" i="82"/>
  <c r="CL103" i="82"/>
  <c r="CL81" i="82"/>
  <c r="CL91" i="82"/>
  <c r="CL88" i="82"/>
  <c r="CL85" i="82"/>
  <c r="CH42" i="82"/>
  <c r="CK42" i="82" s="1"/>
  <c r="CH45" i="82"/>
  <c r="CK45" i="82" s="1"/>
  <c r="CH39" i="82"/>
  <c r="CK39" i="82" s="1"/>
  <c r="CH36" i="82"/>
  <c r="CU36" i="82" s="1"/>
  <c r="CY36" i="82" s="1"/>
  <c r="CH22" i="82"/>
  <c r="CU22" i="82" s="1"/>
  <c r="CY22" i="82" s="1"/>
  <c r="CH41" i="82"/>
  <c r="CK41" i="82" s="1"/>
  <c r="CH38" i="82"/>
  <c r="CK38" i="82" s="1"/>
  <c r="CH35" i="82"/>
  <c r="CH32" i="82"/>
  <c r="CK32" i="82" s="1"/>
  <c r="CH19" i="82"/>
  <c r="CK19" i="82" s="1"/>
  <c r="CH46" i="82"/>
  <c r="CK46" i="82" s="1"/>
  <c r="CH37" i="82"/>
  <c r="CH34" i="82"/>
  <c r="CK34" i="82" s="1"/>
  <c r="CH31" i="82"/>
  <c r="CK31" i="82" s="1"/>
  <c r="CH23" i="82"/>
  <c r="CU23" i="82" s="1"/>
  <c r="CY23" i="82" s="1"/>
  <c r="CH82" i="82"/>
  <c r="CU82" i="82" s="1"/>
  <c r="CY82" i="82" s="1"/>
  <c r="CH86" i="82"/>
  <c r="CU86" i="82" s="1"/>
  <c r="CY86" i="82" s="1"/>
  <c r="CH99" i="82"/>
  <c r="CK99" i="82" s="1"/>
  <c r="CU197" i="82"/>
  <c r="CY197" i="82" s="1"/>
  <c r="CK197" i="82"/>
  <c r="CH138" i="82"/>
  <c r="CK138" i="82" s="1"/>
  <c r="CK222" i="82"/>
  <c r="CU156" i="82"/>
  <c r="CY156" i="82" s="1"/>
  <c r="CW19" i="89"/>
  <c r="CK77" i="87"/>
  <c r="CK23" i="87"/>
  <c r="CK91" i="87"/>
  <c r="CK96" i="87"/>
  <c r="CI35" i="85"/>
  <c r="CI47" i="85"/>
  <c r="CN162" i="87"/>
  <c r="CK175" i="82"/>
  <c r="CN176" i="82" s="1"/>
  <c r="CH195" i="82"/>
  <c r="CH205" i="82"/>
  <c r="CH139" i="82"/>
  <c r="CO219" i="82"/>
  <c r="CH147" i="82"/>
  <c r="CO154" i="82"/>
  <c r="CU157" i="82"/>
  <c r="CY157" i="82" s="1"/>
  <c r="CQ34" i="89"/>
  <c r="CW105" i="89"/>
  <c r="CK40" i="87"/>
  <c r="CK82" i="87"/>
  <c r="CN45" i="87"/>
  <c r="CK87" i="87"/>
  <c r="CI37" i="85"/>
  <c r="CR157" i="87"/>
  <c r="CC187" i="82"/>
  <c r="CH192" i="82"/>
  <c r="CH194" i="82"/>
  <c r="CH196" i="82"/>
  <c r="CH198" i="82"/>
  <c r="CH200" i="82"/>
  <c r="CH202" i="82"/>
  <c r="CH203" i="82"/>
  <c r="CH204" i="82"/>
  <c r="CU204" i="82" s="1"/>
  <c r="CY204" i="82" s="1"/>
  <c r="CH206" i="82"/>
  <c r="CU206" i="82" s="1"/>
  <c r="CY206" i="82" s="1"/>
  <c r="CH207" i="82"/>
  <c r="CH199" i="82"/>
  <c r="CH193" i="82"/>
  <c r="CH201" i="82"/>
  <c r="CK158" i="85"/>
  <c r="CG158" i="85"/>
  <c r="CK148" i="85"/>
  <c r="CG148" i="85"/>
  <c r="CQ148" i="89"/>
  <c r="CM148" i="89"/>
  <c r="CG217" i="85"/>
  <c r="CI215" i="85"/>
  <c r="CG156" i="85"/>
  <c r="CK156" i="85"/>
  <c r="CK160" i="85"/>
  <c r="CG221" i="85"/>
  <c r="CK151" i="85"/>
  <c r="CK150" i="85"/>
  <c r="CI217" i="85"/>
  <c r="CN153" i="87"/>
  <c r="CK153" i="87"/>
  <c r="CN161" i="87"/>
  <c r="CG35" i="85"/>
  <c r="CK27" i="85"/>
  <c r="CK152" i="85"/>
  <c r="CG160" i="85"/>
  <c r="CK30" i="85"/>
  <c r="CK87" i="85"/>
  <c r="CK43" i="85"/>
  <c r="CK33" i="85"/>
  <c r="CI152" i="85"/>
  <c r="CI160" i="85"/>
  <c r="CG150" i="85"/>
  <c r="CG80" i="85"/>
  <c r="CG215" i="85"/>
  <c r="CI209" i="85"/>
  <c r="CG213" i="85"/>
  <c r="CK149" i="85"/>
  <c r="CK159" i="85"/>
  <c r="CI219" i="85"/>
  <c r="CG211" i="85"/>
  <c r="CK40" i="85"/>
  <c r="CK20" i="85"/>
  <c r="CK19" i="85"/>
  <c r="CK155" i="85"/>
  <c r="CK153" i="85"/>
  <c r="CI213" i="85"/>
  <c r="CK46" i="85"/>
  <c r="CK95" i="85"/>
  <c r="CK103" i="85"/>
  <c r="CI211" i="85"/>
  <c r="CK161" i="85"/>
  <c r="CG209" i="85"/>
  <c r="CI221" i="85"/>
  <c r="CG219" i="85"/>
  <c r="CG153" i="85"/>
  <c r="CI153" i="85"/>
  <c r="CG21" i="85"/>
  <c r="CG155" i="85"/>
  <c r="CI155" i="85"/>
  <c r="CI43" i="85"/>
  <c r="CK48" i="85"/>
  <c r="CK34" i="85"/>
  <c r="CG29" i="85"/>
  <c r="CK77" i="85"/>
  <c r="CK81" i="85"/>
  <c r="CK85" i="85"/>
  <c r="CK93" i="85"/>
  <c r="CK101" i="85"/>
  <c r="CK83" i="85"/>
  <c r="CG149" i="85"/>
  <c r="CI149" i="85"/>
  <c r="CG157" i="85"/>
  <c r="CI157" i="85"/>
  <c r="CG161" i="85"/>
  <c r="CI161" i="85"/>
  <c r="CK91" i="85"/>
  <c r="CK99" i="85"/>
  <c r="CK105" i="85"/>
  <c r="CK45" i="85"/>
  <c r="CG151" i="85"/>
  <c r="CI151" i="85"/>
  <c r="CG159" i="85"/>
  <c r="CI159" i="85"/>
  <c r="CI91" i="85"/>
  <c r="CG91" i="85"/>
  <c r="CI105" i="85"/>
  <c r="CG105" i="85"/>
  <c r="CI85" i="85"/>
  <c r="CG85" i="85"/>
  <c r="CG19" i="85"/>
  <c r="CI29" i="85"/>
  <c r="CK26" i="85"/>
  <c r="CI95" i="85"/>
  <c r="CG95" i="85"/>
  <c r="CI103" i="85"/>
  <c r="CG103" i="85"/>
  <c r="CK18" i="85"/>
  <c r="CK36" i="85"/>
  <c r="CI31" i="85"/>
  <c r="CI93" i="85"/>
  <c r="CG93" i="85"/>
  <c r="CI101" i="85"/>
  <c r="CG101" i="85"/>
  <c r="CK79" i="85"/>
  <c r="CK25" i="85"/>
  <c r="CI27" i="85"/>
  <c r="CI45" i="85"/>
  <c r="CI33" i="85"/>
  <c r="CI77" i="85"/>
  <c r="CG77" i="85"/>
  <c r="CI81" i="85"/>
  <c r="CG81" i="85"/>
  <c r="CI99" i="85"/>
  <c r="CG99" i="85"/>
  <c r="CI107" i="85"/>
  <c r="CG107" i="85"/>
  <c r="CI83" i="85"/>
  <c r="CG83" i="85"/>
  <c r="CG37" i="85"/>
  <c r="CK31" i="85"/>
  <c r="CK23" i="85"/>
  <c r="CI23" i="85"/>
  <c r="CI19" i="85"/>
  <c r="CK9" i="85"/>
  <c r="CG27" i="85"/>
  <c r="CK42" i="85"/>
  <c r="CK28" i="85"/>
  <c r="CK44" i="85"/>
  <c r="CG23" i="85"/>
  <c r="CK47" i="85"/>
  <c r="CI97" i="85"/>
  <c r="CG97" i="85"/>
  <c r="CK35" i="85"/>
  <c r="CI87" i="85"/>
  <c r="CG87" i="85"/>
  <c r="CK41" i="85"/>
  <c r="CI41" i="85"/>
  <c r="CG47" i="85"/>
  <c r="CK107" i="85"/>
  <c r="CI79" i="85"/>
  <c r="CG79" i="85"/>
  <c r="CI89" i="85"/>
  <c r="CG89" i="85"/>
  <c r="CK29" i="85"/>
  <c r="CK21" i="85"/>
  <c r="CI18" i="85"/>
  <c r="CG18" i="85"/>
  <c r="CI36" i="85"/>
  <c r="CG36" i="85"/>
  <c r="CI46" i="85"/>
  <c r="CG46" i="85"/>
  <c r="CI26" i="85"/>
  <c r="CG26" i="85"/>
  <c r="CI38" i="85"/>
  <c r="CG38" i="85"/>
  <c r="CI42" i="85"/>
  <c r="CG42" i="85"/>
  <c r="CI28" i="85"/>
  <c r="CG28" i="85"/>
  <c r="CI44" i="85"/>
  <c r="CG44" i="85"/>
  <c r="CI22" i="85"/>
  <c r="CG22" i="85"/>
  <c r="CI20" i="85"/>
  <c r="CG20" i="85"/>
  <c r="CI30" i="85"/>
  <c r="CG30" i="85"/>
  <c r="CI24" i="85"/>
  <c r="CG24" i="85"/>
  <c r="CI32" i="85"/>
  <c r="CG32" i="85"/>
  <c r="CI40" i="85"/>
  <c r="CG40" i="85"/>
  <c r="CI48" i="85"/>
  <c r="CG48" i="85"/>
  <c r="CI34" i="85"/>
  <c r="CG34" i="85"/>
  <c r="CR214" i="87"/>
  <c r="CK214" i="87"/>
  <c r="CK68" i="87"/>
  <c r="CR153" i="87"/>
  <c r="CK95" i="87"/>
  <c r="CN212" i="87"/>
  <c r="CN217" i="87"/>
  <c r="CR208" i="87"/>
  <c r="CK208" i="87"/>
  <c r="CN221" i="87"/>
  <c r="CN213" i="87"/>
  <c r="CN95" i="87"/>
  <c r="CK103" i="87"/>
  <c r="CK79" i="87"/>
  <c r="CR89" i="87"/>
  <c r="CK36" i="87"/>
  <c r="CK161" i="87"/>
  <c r="CK154" i="87"/>
  <c r="CR212" i="87"/>
  <c r="CK212" i="87"/>
  <c r="CR217" i="87"/>
  <c r="CK217" i="87"/>
  <c r="CR221" i="87"/>
  <c r="CK221" i="87"/>
  <c r="CR213" i="87"/>
  <c r="CK213" i="87"/>
  <c r="CK218" i="87"/>
  <c r="CR218" i="87"/>
  <c r="CR161" i="87"/>
  <c r="CN209" i="87"/>
  <c r="CN222" i="87"/>
  <c r="CN208" i="87"/>
  <c r="CR45" i="87"/>
  <c r="CK209" i="87"/>
  <c r="CR209" i="87"/>
  <c r="CK222" i="87"/>
  <c r="CR222" i="87"/>
  <c r="CN218" i="87"/>
  <c r="CR23" i="87"/>
  <c r="CR95" i="87"/>
  <c r="CK27" i="87"/>
  <c r="CR104" i="87"/>
  <c r="CN154" i="87"/>
  <c r="CR42" i="87"/>
  <c r="CN214" i="87"/>
  <c r="CN151" i="87"/>
  <c r="CR151" i="87"/>
  <c r="CN148" i="87"/>
  <c r="CR102" i="87"/>
  <c r="CN102" i="87"/>
  <c r="CN152" i="87"/>
  <c r="CN155" i="87"/>
  <c r="CR27" i="87"/>
  <c r="CK88" i="87"/>
  <c r="CK20" i="87"/>
  <c r="CR148" i="87"/>
  <c r="CK148" i="87"/>
  <c r="CN159" i="87"/>
  <c r="CK152" i="87"/>
  <c r="CR152" i="87"/>
  <c r="CR155" i="87"/>
  <c r="CK155" i="87"/>
  <c r="CN156" i="87"/>
  <c r="CN35" i="87"/>
  <c r="CR91" i="87"/>
  <c r="CR19" i="87"/>
  <c r="CK151" i="87"/>
  <c r="CR159" i="87"/>
  <c r="CK159" i="87"/>
  <c r="CN160" i="87"/>
  <c r="CK156" i="87"/>
  <c r="CR156" i="87"/>
  <c r="CN36" i="87"/>
  <c r="CN42" i="87"/>
  <c r="CN40" i="87"/>
  <c r="CK80" i="87"/>
  <c r="CR160" i="87"/>
  <c r="CK160" i="87"/>
  <c r="CR35" i="87"/>
  <c r="CR105" i="87"/>
  <c r="CK105" i="87"/>
  <c r="CN100" i="87"/>
  <c r="CK100" i="87"/>
  <c r="CN83" i="87"/>
  <c r="CR86" i="87"/>
  <c r="CK86" i="87"/>
  <c r="CN86" i="87"/>
  <c r="CN97" i="87"/>
  <c r="CK97" i="87"/>
  <c r="CN81" i="87"/>
  <c r="CK81" i="87"/>
  <c r="CR85" i="87"/>
  <c r="CK85" i="87"/>
  <c r="CK98" i="87"/>
  <c r="CR98" i="87"/>
  <c r="CN107" i="87"/>
  <c r="CN20" i="87"/>
  <c r="CN84" i="87"/>
  <c r="CN105" i="87"/>
  <c r="CN96" i="87"/>
  <c r="CN82" i="87"/>
  <c r="CR82" i="87"/>
  <c r="CN77" i="87"/>
  <c r="CK83" i="87"/>
  <c r="CN19" i="87"/>
  <c r="CR20" i="87"/>
  <c r="CK24" i="87"/>
  <c r="CR40" i="87"/>
  <c r="CK42" i="87"/>
  <c r="CR46" i="87"/>
  <c r="CR97" i="87"/>
  <c r="CR93" i="87"/>
  <c r="CK93" i="87"/>
  <c r="CN87" i="87"/>
  <c r="CR87" i="87"/>
  <c r="CN101" i="87"/>
  <c r="CN91" i="87"/>
  <c r="CR94" i="87"/>
  <c r="CK94" i="87"/>
  <c r="CN94" i="87"/>
  <c r="CN78" i="87"/>
  <c r="CN89" i="87"/>
  <c r="CK89" i="87"/>
  <c r="CR96" i="87"/>
  <c r="CR78" i="87"/>
  <c r="CK78" i="87"/>
  <c r="CR106" i="87"/>
  <c r="CN106" i="87"/>
  <c r="CN80" i="87"/>
  <c r="CN93" i="87"/>
  <c r="CR107" i="87"/>
  <c r="CK84" i="87"/>
  <c r="CK9" i="87"/>
  <c r="CR100" i="87"/>
  <c r="CK106" i="87"/>
  <c r="CN103" i="87"/>
  <c r="CN104" i="87"/>
  <c r="CK104" i="87"/>
  <c r="CN88" i="87"/>
  <c r="CN90" i="87"/>
  <c r="CR90" i="87"/>
  <c r="CN85" i="87"/>
  <c r="CR77" i="87"/>
  <c r="CK107" i="87"/>
  <c r="CR83" i="87"/>
  <c r="CN92" i="87"/>
  <c r="CN98" i="87"/>
  <c r="CK101" i="87"/>
  <c r="CR101" i="87"/>
  <c r="CK90" i="87"/>
  <c r="CN21" i="87"/>
  <c r="CR22" i="87"/>
  <c r="CK22" i="87"/>
  <c r="CK18" i="87"/>
  <c r="CR18" i="87"/>
  <c r="CK44" i="87"/>
  <c r="CR44" i="87"/>
  <c r="CN48" i="87"/>
  <c r="CN37" i="87"/>
  <c r="CN30" i="87"/>
  <c r="CK34" i="87"/>
  <c r="CR34" i="87"/>
  <c r="CN44" i="87"/>
  <c r="CN29" i="87"/>
  <c r="CR33" i="87"/>
  <c r="CK33" i="87"/>
  <c r="CN26" i="87"/>
  <c r="CR43" i="87"/>
  <c r="CK43" i="87"/>
  <c r="CR25" i="87"/>
  <c r="CK25" i="87"/>
  <c r="CR38" i="87"/>
  <c r="CK38" i="87"/>
  <c r="CR21" i="87"/>
  <c r="CK21" i="87"/>
  <c r="CR37" i="87"/>
  <c r="CK37" i="87"/>
  <c r="CK30" i="87"/>
  <c r="CR30" i="87"/>
  <c r="CN25" i="87"/>
  <c r="CN38" i="87"/>
  <c r="CR48" i="87"/>
  <c r="CK48" i="87"/>
  <c r="CN47" i="87"/>
  <c r="CR29" i="87"/>
  <c r="CK29" i="87"/>
  <c r="CN33" i="87"/>
  <c r="CK26" i="87"/>
  <c r="CR26" i="87"/>
  <c r="CN43" i="87"/>
  <c r="CN34" i="87"/>
  <c r="CR39" i="87"/>
  <c r="CN22" i="87"/>
  <c r="CN18" i="87"/>
  <c r="CK47" i="87"/>
  <c r="CR47" i="87"/>
  <c r="CQ208" i="89"/>
  <c r="CQ212" i="89"/>
  <c r="CW103" i="89"/>
  <c r="CW38" i="89"/>
  <c r="CM159" i="89"/>
  <c r="CW154" i="89"/>
  <c r="CQ221" i="89"/>
  <c r="CM208" i="89"/>
  <c r="CW208" i="89"/>
  <c r="CM212" i="89"/>
  <c r="CW212" i="89"/>
  <c r="CM38" i="89"/>
  <c r="CM47" i="89"/>
  <c r="CQ159" i="89"/>
  <c r="CM221" i="89"/>
  <c r="CW221" i="89"/>
  <c r="CQ216" i="89"/>
  <c r="CM36" i="89"/>
  <c r="CW37" i="89"/>
  <c r="CM94" i="89"/>
  <c r="CW107" i="89"/>
  <c r="CM216" i="89"/>
  <c r="CW216" i="89"/>
  <c r="CM157" i="89"/>
  <c r="CW157" i="89"/>
  <c r="CM23" i="89"/>
  <c r="CM45" i="89"/>
  <c r="CM155" i="89"/>
  <c r="CW155" i="89"/>
  <c r="CQ162" i="89"/>
  <c r="CW34" i="89"/>
  <c r="CW48" i="89"/>
  <c r="CW43" i="89"/>
  <c r="CM21" i="89"/>
  <c r="CW27" i="89"/>
  <c r="CW94" i="89"/>
  <c r="CM32" i="89"/>
  <c r="CM25" i="89"/>
  <c r="CQ149" i="89"/>
  <c r="CQ151" i="89"/>
  <c r="CM153" i="89"/>
  <c r="CW153" i="89"/>
  <c r="CM160" i="89"/>
  <c r="CW160" i="89"/>
  <c r="CM162" i="89"/>
  <c r="CW162" i="89"/>
  <c r="CQ155" i="89"/>
  <c r="CQ153" i="89"/>
  <c r="CQ160" i="89"/>
  <c r="CM105" i="89"/>
  <c r="CM34" i="89"/>
  <c r="CM149" i="89"/>
  <c r="CW149" i="89"/>
  <c r="CM151" i="89"/>
  <c r="CW151" i="89"/>
  <c r="CQ157" i="89"/>
  <c r="CW87" i="89"/>
  <c r="CM87" i="89"/>
  <c r="CW79" i="89"/>
  <c r="CM79" i="89"/>
  <c r="CM88" i="89"/>
  <c r="CW88" i="89"/>
  <c r="CM80" i="89"/>
  <c r="CW80" i="89"/>
  <c r="CM106" i="89"/>
  <c r="CQ106" i="89"/>
  <c r="CQ99" i="89"/>
  <c r="CW99" i="89"/>
  <c r="CQ92" i="89"/>
  <c r="CQ88" i="89"/>
  <c r="CQ84" i="89"/>
  <c r="CQ80" i="89"/>
  <c r="CW106" i="89"/>
  <c r="CM37" i="89"/>
  <c r="CW23" i="89"/>
  <c r="CW35" i="89"/>
  <c r="CW85" i="89"/>
  <c r="CM85" i="89"/>
  <c r="CW77" i="89"/>
  <c r="CM77" i="89"/>
  <c r="CM86" i="89"/>
  <c r="CW86" i="89"/>
  <c r="CM78" i="89"/>
  <c r="CW78" i="89"/>
  <c r="CM95" i="89"/>
  <c r="CW95" i="89"/>
  <c r="CQ98" i="89"/>
  <c r="CM98" i="89"/>
  <c r="CM104" i="89"/>
  <c r="CQ104" i="89"/>
  <c r="CQ97" i="89"/>
  <c r="CQ91" i="89"/>
  <c r="CQ87" i="89"/>
  <c r="CQ83" i="89"/>
  <c r="CQ79" i="89"/>
  <c r="CW104" i="89"/>
  <c r="CQ37" i="89"/>
  <c r="CW101" i="89"/>
  <c r="CW25" i="89"/>
  <c r="CW91" i="89"/>
  <c r="CM91" i="89"/>
  <c r="CW83" i="89"/>
  <c r="CM83" i="89"/>
  <c r="CM84" i="89"/>
  <c r="CW84" i="89"/>
  <c r="CQ96" i="89"/>
  <c r="CM96" i="89"/>
  <c r="CM102" i="89"/>
  <c r="CQ102" i="89"/>
  <c r="CQ95" i="89"/>
  <c r="CQ90" i="89"/>
  <c r="CQ86" i="89"/>
  <c r="CQ82" i="89"/>
  <c r="CQ78" i="89"/>
  <c r="CM99" i="89"/>
  <c r="CW102" i="89"/>
  <c r="CQ103" i="89"/>
  <c r="CW45" i="89"/>
  <c r="CM92" i="89"/>
  <c r="CW92" i="89"/>
  <c r="CW89" i="89"/>
  <c r="CM89" i="89"/>
  <c r="CW81" i="89"/>
  <c r="CM81" i="89"/>
  <c r="CM90" i="89"/>
  <c r="CW90" i="89"/>
  <c r="CM82" i="89"/>
  <c r="CW82" i="89"/>
  <c r="CM93" i="89"/>
  <c r="CW93" i="89"/>
  <c r="CM97" i="89"/>
  <c r="CW97" i="89"/>
  <c r="CQ94" i="89"/>
  <c r="CM100" i="89"/>
  <c r="CQ100" i="89"/>
  <c r="CQ93" i="89"/>
  <c r="CQ89" i="89"/>
  <c r="CQ85" i="89"/>
  <c r="CQ81" i="89"/>
  <c r="CQ77" i="89"/>
  <c r="CW100" i="89"/>
  <c r="CW98" i="89"/>
  <c r="CW42" i="89"/>
  <c r="CW26" i="89"/>
  <c r="CM26" i="89"/>
  <c r="CW18" i="89"/>
  <c r="CM18" i="89"/>
  <c r="CQ18" i="89"/>
  <c r="CQ26" i="89"/>
  <c r="CW47" i="89"/>
  <c r="CM46" i="89"/>
  <c r="CW46" i="89"/>
  <c r="CQ46" i="89"/>
  <c r="CQ39" i="89"/>
  <c r="CM39" i="89"/>
  <c r="CQ33" i="89"/>
  <c r="CQ25" i="89"/>
  <c r="CW22" i="89"/>
  <c r="CM22" i="89"/>
  <c r="CQ47" i="89"/>
  <c r="CQ22" i="89"/>
  <c r="CQ42" i="89"/>
  <c r="CQ43" i="89"/>
  <c r="CM43" i="89"/>
  <c r="CQ35" i="89"/>
  <c r="CM35" i="89"/>
  <c r="CQ29" i="89"/>
  <c r="CQ21" i="89"/>
  <c r="CW20" i="89"/>
  <c r="CM20" i="89"/>
  <c r="CM31" i="89"/>
  <c r="CW31" i="89"/>
  <c r="CQ38" i="89"/>
  <c r="CQ24" i="89"/>
  <c r="CM33" i="89"/>
  <c r="CW33" i="89"/>
  <c r="CQ48" i="89"/>
  <c r="CQ40" i="89"/>
  <c r="CW40" i="89"/>
  <c r="CM28" i="89"/>
  <c r="CQ28" i="89"/>
  <c r="CQ27" i="89"/>
  <c r="CQ19" i="89"/>
  <c r="CW24" i="89"/>
  <c r="CM24" i="89"/>
  <c r="CM29" i="89"/>
  <c r="CW29" i="89"/>
  <c r="CQ45" i="89"/>
  <c r="CQ20" i="89"/>
  <c r="CM30" i="89"/>
  <c r="CQ30" i="89"/>
  <c r="CM40" i="89"/>
  <c r="CM19" i="89"/>
  <c r="CM27" i="89"/>
  <c r="CM48" i="89"/>
  <c r="CQ44" i="89"/>
  <c r="CW44" i="89"/>
  <c r="CQ36" i="89"/>
  <c r="CW36" i="89"/>
  <c r="CQ31" i="89"/>
  <c r="CQ23" i="89"/>
  <c r="CH91" i="82"/>
  <c r="CK91" i="82" s="1"/>
  <c r="CH79" i="82"/>
  <c r="CH81" i="82"/>
  <c r="CK81" i="82" s="1"/>
  <c r="CH94" i="82"/>
  <c r="CH100" i="82"/>
  <c r="CK100" i="82" s="1"/>
  <c r="CH80" i="82"/>
  <c r="CH93" i="82"/>
  <c r="CU93" i="82" s="1"/>
  <c r="CY93" i="82" s="1"/>
  <c r="CL98" i="82"/>
  <c r="CO98" i="82" s="1"/>
  <c r="CL106" i="82"/>
  <c r="CL105" i="82"/>
  <c r="CL89" i="82"/>
  <c r="CL84" i="82"/>
  <c r="CC72" i="82"/>
  <c r="CH83" i="82"/>
  <c r="CK83" i="82" s="1"/>
  <c r="CU150" i="82"/>
  <c r="CY150" i="82" s="1"/>
  <c r="CC127" i="82"/>
  <c r="CH133" i="82"/>
  <c r="CH141" i="82"/>
  <c r="CH144" i="82"/>
  <c r="CH90" i="82"/>
  <c r="CU90" i="82" s="1"/>
  <c r="CY90" i="82" s="1"/>
  <c r="CH101" i="82"/>
  <c r="CK101" i="82" s="1"/>
  <c r="CH89" i="82"/>
  <c r="CK89" i="82" s="1"/>
  <c r="CL24" i="82"/>
  <c r="CK64" i="82"/>
  <c r="CN65" i="82" s="1"/>
  <c r="CL100" i="82"/>
  <c r="CL92" i="82"/>
  <c r="CL107" i="82"/>
  <c r="CL96" i="82"/>
  <c r="CL90" i="82"/>
  <c r="CL83" i="82"/>
  <c r="CL79" i="82"/>
  <c r="CH104" i="82"/>
  <c r="CK104" i="82" s="1"/>
  <c r="CK157" i="82"/>
  <c r="CH84" i="82"/>
  <c r="CH103" i="82"/>
  <c r="CK150" i="82"/>
  <c r="CU219" i="82"/>
  <c r="CY219" i="82" s="1"/>
  <c r="CK219" i="82"/>
  <c r="CO221" i="82"/>
  <c r="CU221" i="82"/>
  <c r="CY221" i="82" s="1"/>
  <c r="CK221" i="82"/>
  <c r="CH134" i="82"/>
  <c r="CH146" i="82"/>
  <c r="CU143" i="82"/>
  <c r="CY143" i="82" s="1"/>
  <c r="CH140" i="82"/>
  <c r="CO218" i="82"/>
  <c r="CH95" i="82"/>
  <c r="CU95" i="82" s="1"/>
  <c r="CY95" i="82" s="1"/>
  <c r="CH87" i="82"/>
  <c r="CH78" i="82"/>
  <c r="CK78" i="82" s="1"/>
  <c r="CH145" i="82"/>
  <c r="CU145" i="82" s="1"/>
  <c r="CY145" i="82" s="1"/>
  <c r="CL95" i="82"/>
  <c r="CL93" i="82"/>
  <c r="CL87" i="82"/>
  <c r="CL80" i="82"/>
  <c r="CH92" i="82"/>
  <c r="CK92" i="82" s="1"/>
  <c r="CH102" i="82"/>
  <c r="CK102" i="82" s="1"/>
  <c r="CH142" i="82"/>
  <c r="CH137" i="82"/>
  <c r="CH135" i="82"/>
  <c r="CH88" i="82"/>
  <c r="CH96" i="82"/>
  <c r="CL43" i="82"/>
  <c r="CL102" i="82"/>
  <c r="CL97" i="82"/>
  <c r="CL99" i="82"/>
  <c r="CL94" i="82"/>
  <c r="CL86" i="82"/>
  <c r="CL82" i="82"/>
  <c r="CO143" i="82"/>
  <c r="CH97" i="82"/>
  <c r="CH105" i="82"/>
  <c r="CK105" i="82" s="1"/>
  <c r="CH85" i="82"/>
  <c r="CK98" i="82"/>
  <c r="CK115" i="82"/>
  <c r="CN116" i="82" s="1"/>
  <c r="CO217" i="82"/>
  <c r="CU217" i="82"/>
  <c r="CY217" i="82" s="1"/>
  <c r="CK217" i="82"/>
  <c r="CH132" i="82"/>
  <c r="CO222" i="82"/>
  <c r="CU218" i="82"/>
  <c r="CY218" i="82" s="1"/>
  <c r="CK218" i="82"/>
  <c r="CO220" i="82"/>
  <c r="CU220" i="82"/>
  <c r="CY220" i="82" s="1"/>
  <c r="CK220" i="82"/>
  <c r="CH136" i="82"/>
  <c r="CH106" i="82"/>
  <c r="CK106" i="82" s="1"/>
  <c r="CH107" i="82"/>
  <c r="CK107" i="82" s="1"/>
  <c r="CH77" i="82"/>
  <c r="CL39" i="82"/>
  <c r="CL20" i="82"/>
  <c r="CC13" i="82"/>
  <c r="CL30" i="82"/>
  <c r="CU18" i="82"/>
  <c r="CY18" i="82" s="1"/>
  <c r="CL34" i="82"/>
  <c r="CL19" i="82"/>
  <c r="CL35" i="82"/>
  <c r="CL21" i="82"/>
  <c r="CL25" i="82"/>
  <c r="CL29" i="82"/>
  <c r="CL32" i="82"/>
  <c r="CL33" i="82"/>
  <c r="CL37" i="82"/>
  <c r="CL46" i="82"/>
  <c r="CL22" i="82"/>
  <c r="CL23" i="82"/>
  <c r="CL36" i="82"/>
  <c r="CL40" i="82"/>
  <c r="CL41" i="82"/>
  <c r="CL31" i="82"/>
  <c r="CL26" i="82"/>
  <c r="CL28" i="82"/>
  <c r="CL18" i="82"/>
  <c r="CO18" i="82" s="1"/>
  <c r="CL45" i="82"/>
  <c r="CL42" i="82"/>
  <c r="CL44" i="82"/>
  <c r="CL48" i="82"/>
  <c r="CO139" i="82" l="1"/>
  <c r="CO136" i="82"/>
  <c r="CO147" i="82"/>
  <c r="CK147" i="82"/>
  <c r="CU28" i="82"/>
  <c r="CY28" i="82" s="1"/>
  <c r="CO48" i="82"/>
  <c r="CO28" i="82"/>
  <c r="CO47" i="82"/>
  <c r="CO38" i="82"/>
  <c r="CU33" i="82"/>
  <c r="CY33" i="82" s="1"/>
  <c r="CO30" i="82"/>
  <c r="CK21" i="82"/>
  <c r="CK29" i="82"/>
  <c r="CU30" i="82"/>
  <c r="CY30" i="82" s="1"/>
  <c r="CO21" i="82"/>
  <c r="CO33" i="82"/>
  <c r="CU101" i="82"/>
  <c r="CY101" i="82" s="1"/>
  <c r="CO31" i="82"/>
  <c r="CO19" i="82"/>
  <c r="CO82" i="82"/>
  <c r="CO43" i="82"/>
  <c r="CK36" i="82"/>
  <c r="CO104" i="82"/>
  <c r="CU27" i="82"/>
  <c r="CY27" i="82" s="1"/>
  <c r="CK86" i="82"/>
  <c r="CU38" i="82"/>
  <c r="CY38" i="82" s="1"/>
  <c r="CK23" i="82"/>
  <c r="CO27" i="82"/>
  <c r="CK22" i="82"/>
  <c r="CU34" i="82"/>
  <c r="CY34" i="82" s="1"/>
  <c r="CU83" i="82"/>
  <c r="CY83" i="82" s="1"/>
  <c r="CU46" i="82"/>
  <c r="CY46" i="82" s="1"/>
  <c r="CU39" i="82"/>
  <c r="CY39" i="82" s="1"/>
  <c r="CO94" i="82"/>
  <c r="CU107" i="82"/>
  <c r="CY107" i="82" s="1"/>
  <c r="CU104" i="82"/>
  <c r="CY104" i="82" s="1"/>
  <c r="CU147" i="82"/>
  <c r="CY147" i="82" s="1"/>
  <c r="CO86" i="82"/>
  <c r="CU24" i="82"/>
  <c r="CY24" i="82" s="1"/>
  <c r="CU44" i="82"/>
  <c r="CY44" i="82" s="1"/>
  <c r="CU41" i="82"/>
  <c r="CY41" i="82" s="1"/>
  <c r="CU47" i="82"/>
  <c r="CY47" i="82" s="1"/>
  <c r="CU48" i="82"/>
  <c r="CY48" i="82" s="1"/>
  <c r="CU43" i="82"/>
  <c r="CY43" i="82" s="1"/>
  <c r="CU20" i="82"/>
  <c r="CY20" i="82" s="1"/>
  <c r="CO40" i="82"/>
  <c r="CK43" i="82"/>
  <c r="CU32" i="82"/>
  <c r="CY32" i="82" s="1"/>
  <c r="CO36" i="82"/>
  <c r="CO32" i="82"/>
  <c r="CO35" i="82"/>
  <c r="CK93" i="82"/>
  <c r="CU19" i="82"/>
  <c r="CY19" i="82" s="1"/>
  <c r="CO23" i="82"/>
  <c r="CO29" i="82"/>
  <c r="CO92" i="82"/>
  <c r="CO20" i="82"/>
  <c r="CO102" i="82"/>
  <c r="CU98" i="82"/>
  <c r="CY98" i="82" s="1"/>
  <c r="CO26" i="82"/>
  <c r="CU25" i="82"/>
  <c r="CY25" i="82" s="1"/>
  <c r="CU102" i="82"/>
  <c r="CY102" i="82" s="1"/>
  <c r="CO22" i="82"/>
  <c r="CO25" i="82"/>
  <c r="CK90" i="82"/>
  <c r="CO80" i="82"/>
  <c r="CO103" i="82"/>
  <c r="CU26" i="82"/>
  <c r="CY26" i="82" s="1"/>
  <c r="CO46" i="82"/>
  <c r="CK82" i="82"/>
  <c r="CO77" i="82"/>
  <c r="CO83" i="82"/>
  <c r="CU78" i="82"/>
  <c r="CY78" i="82" s="1"/>
  <c r="CO90" i="82"/>
  <c r="CU89" i="82"/>
  <c r="CY89" i="82" s="1"/>
  <c r="CU92" i="82"/>
  <c r="CY92" i="82" s="1"/>
  <c r="CU100" i="82"/>
  <c r="CY100" i="82" s="1"/>
  <c r="CO24" i="82"/>
  <c r="CU45" i="82"/>
  <c r="CY45" i="82" s="1"/>
  <c r="CU31" i="82"/>
  <c r="CY31" i="82" s="1"/>
  <c r="CO44" i="82"/>
  <c r="CO37" i="82"/>
  <c r="CO84" i="82"/>
  <c r="CU91" i="82"/>
  <c r="CY91" i="82" s="1"/>
  <c r="CO42" i="82"/>
  <c r="CO93" i="82"/>
  <c r="CO99" i="82"/>
  <c r="CU37" i="82"/>
  <c r="CY37" i="82" s="1"/>
  <c r="CU99" i="82"/>
  <c r="CY99" i="82" s="1"/>
  <c r="CO100" i="82"/>
  <c r="CK37" i="82"/>
  <c r="CO34" i="82"/>
  <c r="CU35" i="82"/>
  <c r="CY35" i="82" s="1"/>
  <c r="CK35" i="82"/>
  <c r="CO107" i="82"/>
  <c r="CK136" i="82"/>
  <c r="CO105" i="82"/>
  <c r="CO201" i="82"/>
  <c r="CK201" i="82"/>
  <c r="CU201" i="82"/>
  <c r="CY201" i="82" s="1"/>
  <c r="CO199" i="82"/>
  <c r="CK199" i="82"/>
  <c r="CU199" i="82"/>
  <c r="CY199" i="82" s="1"/>
  <c r="CO207" i="82"/>
  <c r="CU207" i="82"/>
  <c r="CY207" i="82" s="1"/>
  <c r="CK207" i="82"/>
  <c r="CK204" i="82"/>
  <c r="CO204" i="82"/>
  <c r="CO202" i="82"/>
  <c r="CK202" i="82"/>
  <c r="CU198" i="82"/>
  <c r="CY198" i="82" s="1"/>
  <c r="CO198" i="82"/>
  <c r="CK198" i="82"/>
  <c r="CU194" i="82"/>
  <c r="CY194" i="82" s="1"/>
  <c r="CO194" i="82"/>
  <c r="CK194" i="82"/>
  <c r="CU139" i="82"/>
  <c r="CY139" i="82" s="1"/>
  <c r="CK139" i="82"/>
  <c r="CU195" i="82"/>
  <c r="CY195" i="82" s="1"/>
  <c r="CK195" i="82"/>
  <c r="CO195" i="82"/>
  <c r="CO138" i="82"/>
  <c r="CU138" i="82"/>
  <c r="CY138" i="82" s="1"/>
  <c r="CU193" i="82"/>
  <c r="CY193" i="82" s="1"/>
  <c r="CK193" i="82"/>
  <c r="CO193" i="82"/>
  <c r="CU202" i="82"/>
  <c r="CY202" i="82" s="1"/>
  <c r="CO206" i="82"/>
  <c r="CK206" i="82"/>
  <c r="CK203" i="82"/>
  <c r="CO203" i="82"/>
  <c r="CU200" i="82"/>
  <c r="CY200" i="82" s="1"/>
  <c r="CO200" i="82"/>
  <c r="CK200" i="82"/>
  <c r="CU196" i="82"/>
  <c r="CY196" i="82" s="1"/>
  <c r="CO196" i="82"/>
  <c r="CK196" i="82"/>
  <c r="CU192" i="82"/>
  <c r="CY192" i="82" s="1"/>
  <c r="CO192" i="82"/>
  <c r="CK192" i="82"/>
  <c r="CU205" i="82"/>
  <c r="CY205" i="82" s="1"/>
  <c r="CO205" i="82"/>
  <c r="CK205" i="82"/>
  <c r="CU203" i="82"/>
  <c r="CY203" i="82" s="1"/>
  <c r="CI108" i="85"/>
  <c r="CI49" i="85"/>
  <c r="CK108" i="87"/>
  <c r="CK49" i="87"/>
  <c r="CM108" i="89"/>
  <c r="CM49" i="89"/>
  <c r="CO142" i="82"/>
  <c r="CU142" i="82"/>
  <c r="CY142" i="82" s="1"/>
  <c r="CK142" i="82"/>
  <c r="CU146" i="82"/>
  <c r="CY146" i="82" s="1"/>
  <c r="CO146" i="82"/>
  <c r="CK146" i="82"/>
  <c r="CK95" i="82"/>
  <c r="CU141" i="82"/>
  <c r="CY141" i="82" s="1"/>
  <c r="CO141" i="82"/>
  <c r="CK141" i="82"/>
  <c r="CK80" i="82"/>
  <c r="CU80" i="82"/>
  <c r="CY80" i="82" s="1"/>
  <c r="CO39" i="82"/>
  <c r="CK85" i="82"/>
  <c r="CU85" i="82"/>
  <c r="CY85" i="82" s="1"/>
  <c r="CO134" i="82"/>
  <c r="CK134" i="82"/>
  <c r="CU134" i="82"/>
  <c r="CY134" i="82" s="1"/>
  <c r="CO79" i="82"/>
  <c r="CU133" i="82"/>
  <c r="CY133" i="82" s="1"/>
  <c r="CK133" i="82"/>
  <c r="CO133" i="82"/>
  <c r="CO106" i="82"/>
  <c r="CU105" i="82"/>
  <c r="CY105" i="82" s="1"/>
  <c r="CO135" i="82"/>
  <c r="CK135" i="82"/>
  <c r="CU135" i="82"/>
  <c r="CY135" i="82" s="1"/>
  <c r="CO85" i="82"/>
  <c r="CK140" i="82"/>
  <c r="CU140" i="82"/>
  <c r="CY140" i="82" s="1"/>
  <c r="CO140" i="82"/>
  <c r="CK103" i="82"/>
  <c r="CU103" i="82"/>
  <c r="CY103" i="82" s="1"/>
  <c r="CU77" i="82"/>
  <c r="CY77" i="82" s="1"/>
  <c r="CK94" i="82"/>
  <c r="CU94" i="82"/>
  <c r="CY94" i="82" s="1"/>
  <c r="CO91" i="82"/>
  <c r="CK77" i="82"/>
  <c r="CO96" i="82"/>
  <c r="CK96" i="82"/>
  <c r="CK84" i="82"/>
  <c r="CU84" i="82"/>
  <c r="CY84" i="82" s="1"/>
  <c r="CK79" i="82"/>
  <c r="CU79" i="82"/>
  <c r="CY79" i="82" s="1"/>
  <c r="CK132" i="82"/>
  <c r="CO132" i="82"/>
  <c r="CK88" i="82"/>
  <c r="CU88" i="82"/>
  <c r="CY88" i="82" s="1"/>
  <c r="CO145" i="82"/>
  <c r="CK145" i="82"/>
  <c r="CU132" i="82"/>
  <c r="CY132" i="82" s="1"/>
  <c r="CU106" i="82"/>
  <c r="CY106" i="82" s="1"/>
  <c r="CK97" i="82"/>
  <c r="CU97" i="82"/>
  <c r="CY97" i="82" s="1"/>
  <c r="CO97" i="82"/>
  <c r="CO137" i="82"/>
  <c r="CK137" i="82"/>
  <c r="CU137" i="82"/>
  <c r="CY137" i="82" s="1"/>
  <c r="CO95" i="82"/>
  <c r="CO101" i="82"/>
  <c r="CO87" i="82"/>
  <c r="CK87" i="82"/>
  <c r="CU87" i="82"/>
  <c r="CY87" i="82" s="1"/>
  <c r="CU96" i="82"/>
  <c r="CY96" i="82" s="1"/>
  <c r="CU144" i="82"/>
  <c r="CY144" i="82" s="1"/>
  <c r="CK144" i="82"/>
  <c r="CO144" i="82"/>
  <c r="CO89" i="82"/>
  <c r="CU81" i="82"/>
  <c r="CY81" i="82" s="1"/>
  <c r="CO81" i="82"/>
  <c r="CO88" i="82"/>
  <c r="CU136" i="82"/>
  <c r="CY136" i="82" s="1"/>
  <c r="CO78" i="82"/>
  <c r="CU40" i="82"/>
  <c r="CY40" i="82" s="1"/>
  <c r="CO45" i="82"/>
  <c r="CU42" i="82"/>
  <c r="CY42" i="82" s="1"/>
  <c r="CO41" i="82"/>
  <c r="CK49" i="82" l="1"/>
  <c r="CK223" i="82"/>
  <c r="CK108" i="82"/>
  <c r="CK163" i="82"/>
  <c r="E53" i="6" l="1"/>
  <c r="G53" i="6"/>
  <c r="BD14" i="89" l="1"/>
  <c r="BD46" i="82" l="1"/>
  <c r="BD45" i="82"/>
  <c r="BD43" i="82"/>
  <c r="BD40" i="82"/>
  <c r="BD28" i="87" l="1"/>
  <c r="BD37" i="85" l="1"/>
  <c r="BD34" i="85"/>
  <c r="BD16" i="85"/>
  <c r="BD26" i="85"/>
  <c r="BD7" i="85"/>
  <c r="CC186" i="85" l="1"/>
  <c r="CH174" i="85"/>
  <c r="CC185" i="85"/>
  <c r="CC126" i="85"/>
  <c r="CC125" i="85"/>
  <c r="CH114" i="85"/>
  <c r="CH5" i="85"/>
  <c r="CF25" i="85" s="1"/>
  <c r="CL25" i="85" s="1"/>
  <c r="CH64" i="85"/>
  <c r="BD43" i="87"/>
  <c r="BD40" i="87"/>
  <c r="BD39" i="87"/>
  <c r="BD34" i="87"/>
  <c r="BD19" i="87"/>
  <c r="BD13" i="87"/>
  <c r="BD7" i="87"/>
  <c r="BD39" i="82"/>
  <c r="BD36" i="82"/>
  <c r="BD32" i="82"/>
  <c r="BD18" i="82"/>
  <c r="BD15" i="82"/>
  <c r="BD11" i="82"/>
  <c r="BD7" i="82"/>
  <c r="BD50" i="89"/>
  <c r="BD48" i="89"/>
  <c r="BD45" i="89"/>
  <c r="BD44" i="89"/>
  <c r="BD43" i="89"/>
  <c r="BD42" i="89"/>
  <c r="BD39" i="89"/>
  <c r="BD38" i="89"/>
  <c r="BD35" i="89"/>
  <c r="BD23" i="89"/>
  <c r="BD21" i="89"/>
  <c r="BD18" i="89"/>
  <c r="BD15" i="89"/>
  <c r="BD11" i="89"/>
  <c r="BD7" i="89"/>
  <c r="BD31" i="89"/>
  <c r="CF48" i="85" l="1"/>
  <c r="CL48" i="85" s="1"/>
  <c r="CD115" i="87"/>
  <c r="CD175" i="87"/>
  <c r="CD116" i="87"/>
  <c r="CD176" i="87"/>
  <c r="CH114" i="87"/>
  <c r="CH174" i="87"/>
  <c r="CC125" i="87"/>
  <c r="CC126" i="87"/>
  <c r="CC185" i="87"/>
  <c r="CC186" i="87"/>
  <c r="CD186" i="87"/>
  <c r="CD185" i="87"/>
  <c r="CD125" i="87"/>
  <c r="CD126" i="87"/>
  <c r="CF46" i="85"/>
  <c r="CL46" i="85" s="1"/>
  <c r="CH192" i="85"/>
  <c r="CH194" i="85"/>
  <c r="CC187" i="85"/>
  <c r="CH196" i="85"/>
  <c r="CH204" i="85"/>
  <c r="CH198" i="85"/>
  <c r="CH206" i="85"/>
  <c r="CH200" i="85"/>
  <c r="CH202" i="85"/>
  <c r="CH195" i="85"/>
  <c r="CH193" i="85"/>
  <c r="CH205" i="85"/>
  <c r="CH201" i="85"/>
  <c r="CH199" i="85"/>
  <c r="CH207" i="85"/>
  <c r="CH203" i="85"/>
  <c r="CH197" i="85"/>
  <c r="CF20" i="85"/>
  <c r="CL20" i="85" s="1"/>
  <c r="CF208" i="85"/>
  <c r="CL208" i="85" s="1"/>
  <c r="CF210" i="85"/>
  <c r="CL210" i="85" s="1"/>
  <c r="CF212" i="85"/>
  <c r="CL212" i="85" s="1"/>
  <c r="CF214" i="85"/>
  <c r="CL214" i="85" s="1"/>
  <c r="CF216" i="85"/>
  <c r="CL216" i="85" s="1"/>
  <c r="CF218" i="85"/>
  <c r="CL218" i="85" s="1"/>
  <c r="CF220" i="85"/>
  <c r="CL220" i="85" s="1"/>
  <c r="CF222" i="85"/>
  <c r="CL222" i="85" s="1"/>
  <c r="CF221" i="85"/>
  <c r="CL221" i="85" s="1"/>
  <c r="CF211" i="85"/>
  <c r="CL211" i="85" s="1"/>
  <c r="CF215" i="85"/>
  <c r="CL215" i="85" s="1"/>
  <c r="CF219" i="85"/>
  <c r="CL219" i="85" s="1"/>
  <c r="CF209" i="85"/>
  <c r="CL209" i="85" s="1"/>
  <c r="CF213" i="85"/>
  <c r="CL213" i="85" s="1"/>
  <c r="CF217" i="85"/>
  <c r="CL217" i="85" s="1"/>
  <c r="CF42" i="85"/>
  <c r="CL42" i="85" s="1"/>
  <c r="CJ196" i="85"/>
  <c r="CJ198" i="85"/>
  <c r="CJ200" i="85"/>
  <c r="CJ202" i="85"/>
  <c r="CJ204" i="85"/>
  <c r="CJ206" i="85"/>
  <c r="CJ195" i="85"/>
  <c r="CJ197" i="85"/>
  <c r="CJ193" i="85"/>
  <c r="CJ203" i="85"/>
  <c r="CJ201" i="85"/>
  <c r="CJ205" i="85"/>
  <c r="CJ199" i="85"/>
  <c r="CJ207" i="85"/>
  <c r="CJ192" i="85"/>
  <c r="CJ194" i="85"/>
  <c r="CF47" i="85"/>
  <c r="CL47" i="85" s="1"/>
  <c r="CF39" i="85"/>
  <c r="CL39" i="85" s="1"/>
  <c r="CF31" i="85"/>
  <c r="CL31" i="85" s="1"/>
  <c r="CF23" i="85"/>
  <c r="CL23" i="85" s="1"/>
  <c r="CF148" i="85"/>
  <c r="CL148" i="85" s="1"/>
  <c r="CF150" i="85"/>
  <c r="CL150" i="85" s="1"/>
  <c r="CF152" i="85"/>
  <c r="CL152" i="85" s="1"/>
  <c r="CF154" i="85"/>
  <c r="CL154" i="85" s="1"/>
  <c r="CF156" i="85"/>
  <c r="CL156" i="85" s="1"/>
  <c r="CF158" i="85"/>
  <c r="CL158" i="85" s="1"/>
  <c r="CF160" i="85"/>
  <c r="CL160" i="85" s="1"/>
  <c r="CF162" i="85"/>
  <c r="CL162" i="85" s="1"/>
  <c r="CF151" i="85"/>
  <c r="CL151" i="85" s="1"/>
  <c r="CF155" i="85"/>
  <c r="CL155" i="85" s="1"/>
  <c r="CF159" i="85"/>
  <c r="CL159" i="85" s="1"/>
  <c r="CF149" i="85"/>
  <c r="CL149" i="85" s="1"/>
  <c r="CF153" i="85"/>
  <c r="CL153" i="85" s="1"/>
  <c r="CF157" i="85"/>
  <c r="CL157" i="85" s="1"/>
  <c r="CF161" i="85"/>
  <c r="CL161" i="85" s="1"/>
  <c r="CF32" i="85"/>
  <c r="CL32" i="85" s="1"/>
  <c r="CF36" i="85"/>
  <c r="CL36" i="85" s="1"/>
  <c r="CF30" i="85"/>
  <c r="CL30" i="85" s="1"/>
  <c r="CF26" i="85"/>
  <c r="CL26" i="85" s="1"/>
  <c r="CF43" i="85"/>
  <c r="CL43" i="85" s="1"/>
  <c r="CF35" i="85"/>
  <c r="CL35" i="85" s="1"/>
  <c r="CF27" i="85"/>
  <c r="CL27" i="85" s="1"/>
  <c r="CF19" i="85"/>
  <c r="CL19" i="85" s="1"/>
  <c r="CC127" i="85"/>
  <c r="CH140" i="85"/>
  <c r="CH136" i="85"/>
  <c r="CH138" i="85"/>
  <c r="CH146" i="85"/>
  <c r="CH134" i="85"/>
  <c r="CH142" i="85"/>
  <c r="CH144" i="85"/>
  <c r="CH133" i="85"/>
  <c r="CH135" i="85"/>
  <c r="CH141" i="85"/>
  <c r="CH137" i="85"/>
  <c r="CH132" i="85"/>
  <c r="CH139" i="85"/>
  <c r="CH143" i="85"/>
  <c r="CH145" i="85"/>
  <c r="CH147" i="85"/>
  <c r="CF40" i="85"/>
  <c r="CL40" i="85" s="1"/>
  <c r="CF44" i="85"/>
  <c r="CL44" i="85" s="1"/>
  <c r="CF38" i="85"/>
  <c r="CL38" i="85" s="1"/>
  <c r="CF34" i="85"/>
  <c r="CL34" i="85" s="1"/>
  <c r="CF45" i="85"/>
  <c r="CL45" i="85" s="1"/>
  <c r="CF37" i="85"/>
  <c r="CL37" i="85" s="1"/>
  <c r="CF29" i="85"/>
  <c r="CL29" i="85" s="1"/>
  <c r="CF21" i="85"/>
  <c r="CL21" i="85" s="1"/>
  <c r="CF24" i="85"/>
  <c r="CL24" i="85" s="1"/>
  <c r="CF28" i="85"/>
  <c r="CL28" i="85" s="1"/>
  <c r="CF22" i="85"/>
  <c r="CL22" i="85" s="1"/>
  <c r="CF18" i="85"/>
  <c r="CL18" i="85" s="1"/>
  <c r="CF41" i="85"/>
  <c r="CL41" i="85" s="1"/>
  <c r="CF33" i="85"/>
  <c r="CL33" i="85" s="1"/>
  <c r="CJ138" i="85"/>
  <c r="CJ140" i="85"/>
  <c r="CJ142" i="85"/>
  <c r="CJ144" i="85"/>
  <c r="CJ146" i="85"/>
  <c r="CJ139" i="85"/>
  <c r="CJ147" i="85"/>
  <c r="CJ143" i="85"/>
  <c r="CJ137" i="85"/>
  <c r="CJ145" i="85"/>
  <c r="CJ133" i="85"/>
  <c r="CJ141" i="85"/>
  <c r="CJ135" i="85"/>
  <c r="CJ132" i="85"/>
  <c r="CJ134" i="85"/>
  <c r="CJ136" i="85"/>
  <c r="CF78" i="85"/>
  <c r="CL78" i="85" s="1"/>
  <c r="CF80" i="85"/>
  <c r="CL80" i="85" s="1"/>
  <c r="CF82" i="85"/>
  <c r="CL82" i="85" s="1"/>
  <c r="CF84" i="85"/>
  <c r="CL84" i="85" s="1"/>
  <c r="CF86" i="85"/>
  <c r="CL86" i="85" s="1"/>
  <c r="CF88" i="85"/>
  <c r="CL88" i="85" s="1"/>
  <c r="CF90" i="85"/>
  <c r="CL90" i="85" s="1"/>
  <c r="CF92" i="85"/>
  <c r="CL92" i="85" s="1"/>
  <c r="CF94" i="85"/>
  <c r="CL94" i="85" s="1"/>
  <c r="CF96" i="85"/>
  <c r="CL96" i="85" s="1"/>
  <c r="CF98" i="85"/>
  <c r="CL98" i="85" s="1"/>
  <c r="CF100" i="85"/>
  <c r="CL100" i="85" s="1"/>
  <c r="CF102" i="85"/>
  <c r="CL102" i="85" s="1"/>
  <c r="CF104" i="85"/>
  <c r="CL104" i="85" s="1"/>
  <c r="CF106" i="85"/>
  <c r="CL106" i="85" s="1"/>
  <c r="CF77" i="85"/>
  <c r="CL77" i="85" s="1"/>
  <c r="CF79" i="85"/>
  <c r="CL79" i="85" s="1"/>
  <c r="CF81" i="85"/>
  <c r="CL81" i="85" s="1"/>
  <c r="CF83" i="85"/>
  <c r="CL83" i="85" s="1"/>
  <c r="CF87" i="85"/>
  <c r="CL87" i="85" s="1"/>
  <c r="CF89" i="85"/>
  <c r="CL89" i="85" s="1"/>
  <c r="CF91" i="85"/>
  <c r="CL91" i="85" s="1"/>
  <c r="CF85" i="85"/>
  <c r="CL85" i="85" s="1"/>
  <c r="CF103" i="85"/>
  <c r="CL103" i="85" s="1"/>
  <c r="CF105" i="85"/>
  <c r="CL105" i="85" s="1"/>
  <c r="CF93" i="85"/>
  <c r="CL93" i="85" s="1"/>
  <c r="CF95" i="85"/>
  <c r="CL95" i="85" s="1"/>
  <c r="CF97" i="85"/>
  <c r="CL97" i="85" s="1"/>
  <c r="CF99" i="85"/>
  <c r="CL99" i="85" s="1"/>
  <c r="CF101" i="85"/>
  <c r="CL101" i="85" s="1"/>
  <c r="CF107" i="85"/>
  <c r="CL107" i="85" s="1"/>
  <c r="CD65" i="87"/>
  <c r="CD66" i="87"/>
  <c r="CH64" i="87"/>
  <c r="CD6" i="87"/>
  <c r="CD7" i="87"/>
  <c r="CH5" i="87"/>
  <c r="CD175" i="89"/>
  <c r="CD176" i="89"/>
  <c r="CC186" i="89"/>
  <c r="CE180" i="89"/>
  <c r="CE181" i="89"/>
  <c r="CC185" i="89"/>
  <c r="CD186" i="89"/>
  <c r="CD185" i="89"/>
  <c r="CH174" i="89"/>
  <c r="CD115" i="89"/>
  <c r="CD116" i="89"/>
  <c r="CC126" i="89"/>
  <c r="CE120" i="89"/>
  <c r="CE121" i="89"/>
  <c r="CC125" i="89"/>
  <c r="CD126" i="89"/>
  <c r="CH114" i="89"/>
  <c r="CD125" i="89"/>
  <c r="CE71" i="89"/>
  <c r="CD65" i="89"/>
  <c r="CE70" i="89"/>
  <c r="CH64" i="89"/>
  <c r="CD66" i="89"/>
  <c r="CE12" i="89"/>
  <c r="CD6" i="89"/>
  <c r="CD7" i="89"/>
  <c r="CE11" i="89"/>
  <c r="CH5" i="89"/>
  <c r="CD175" i="82"/>
  <c r="CD186" i="82"/>
  <c r="CD185" i="82"/>
  <c r="CE185" i="82" s="1"/>
  <c r="CE180" i="82"/>
  <c r="CE181" i="82"/>
  <c r="CD176" i="82"/>
  <c r="CD115" i="82"/>
  <c r="CD126" i="82"/>
  <c r="CD125" i="82"/>
  <c r="CE120" i="82"/>
  <c r="CE121" i="82"/>
  <c r="CD116" i="82"/>
  <c r="CD71" i="82"/>
  <c r="CE71" i="82" s="1"/>
  <c r="CE66" i="82" s="1"/>
  <c r="CD70" i="82"/>
  <c r="CD12" i="82"/>
  <c r="CE12" i="82" s="1"/>
  <c r="CE7" i="82" s="1"/>
  <c r="CD11" i="82"/>
  <c r="CE125" i="82" l="1"/>
  <c r="CJ137" i="82" s="1"/>
  <c r="CE175" i="82"/>
  <c r="CJ210" i="82" s="1"/>
  <c r="CE126" i="82"/>
  <c r="CN138" i="82" s="1"/>
  <c r="CM216" i="87"/>
  <c r="CM222" i="87"/>
  <c r="CM213" i="87"/>
  <c r="CM208" i="87"/>
  <c r="CM212" i="87"/>
  <c r="CM210" i="87"/>
  <c r="CM215" i="87"/>
  <c r="CM209" i="87"/>
  <c r="CM221" i="87"/>
  <c r="CM220" i="87"/>
  <c r="CM214" i="87"/>
  <c r="CM219" i="87"/>
  <c r="CM211" i="87"/>
  <c r="CM218" i="87"/>
  <c r="CM217" i="87"/>
  <c r="CL145" i="87"/>
  <c r="CL146" i="87"/>
  <c r="CL147" i="87"/>
  <c r="CL132" i="87"/>
  <c r="CL141" i="87"/>
  <c r="CL140" i="87"/>
  <c r="CL133" i="87"/>
  <c r="CL134" i="87"/>
  <c r="CL135" i="87"/>
  <c r="CL136" i="87"/>
  <c r="CL143" i="87"/>
  <c r="CL137" i="87"/>
  <c r="CL138" i="87"/>
  <c r="CL139" i="87"/>
  <c r="CL144" i="87"/>
  <c r="CL142" i="87"/>
  <c r="CJ194" i="87"/>
  <c r="CJ200" i="87"/>
  <c r="CJ204" i="87"/>
  <c r="CJ193" i="87"/>
  <c r="CJ198" i="87"/>
  <c r="CD187" i="87"/>
  <c r="CJ205" i="87"/>
  <c r="CJ207" i="87"/>
  <c r="CJ196" i="87"/>
  <c r="CJ192" i="87"/>
  <c r="CJ206" i="87"/>
  <c r="CJ199" i="87"/>
  <c r="CJ201" i="87"/>
  <c r="CJ195" i="87"/>
  <c r="CJ202" i="87"/>
  <c r="CJ197" i="87"/>
  <c r="CJ203" i="87"/>
  <c r="CM203" i="87"/>
  <c r="CM206" i="87"/>
  <c r="CM197" i="87"/>
  <c r="CM200" i="87"/>
  <c r="CM202" i="87"/>
  <c r="CM194" i="87"/>
  <c r="CM207" i="87"/>
  <c r="CM192" i="87"/>
  <c r="CM205" i="87"/>
  <c r="CM199" i="87"/>
  <c r="CM196" i="87"/>
  <c r="CM195" i="87"/>
  <c r="CM198" i="87"/>
  <c r="CM204" i="87"/>
  <c r="CM201" i="87"/>
  <c r="CM193" i="87"/>
  <c r="CI145" i="87"/>
  <c r="CI134" i="87"/>
  <c r="CI140" i="87"/>
  <c r="CI147" i="87"/>
  <c r="CI146" i="87"/>
  <c r="CC127" i="87"/>
  <c r="CI138" i="87"/>
  <c r="CI144" i="87"/>
  <c r="CI132" i="87"/>
  <c r="CI135" i="87"/>
  <c r="CI139" i="87"/>
  <c r="CI137" i="87"/>
  <c r="CI142" i="87"/>
  <c r="CI133" i="87"/>
  <c r="CI143" i="87"/>
  <c r="CI141" i="87"/>
  <c r="CI136" i="87"/>
  <c r="CM157" i="87"/>
  <c r="CM154" i="87"/>
  <c r="CM148" i="87"/>
  <c r="CM159" i="87"/>
  <c r="CM158" i="87"/>
  <c r="CM150" i="87"/>
  <c r="CM161" i="87"/>
  <c r="CM160" i="87"/>
  <c r="CM153" i="87"/>
  <c r="CM149" i="87"/>
  <c r="CM162" i="87"/>
  <c r="CM155" i="87"/>
  <c r="CM151" i="87"/>
  <c r="CM152" i="87"/>
  <c r="CM156" i="87"/>
  <c r="CM137" i="87"/>
  <c r="CM138" i="87"/>
  <c r="CM144" i="87"/>
  <c r="CM135" i="87"/>
  <c r="CM133" i="87"/>
  <c r="CM143" i="87"/>
  <c r="CM141" i="87"/>
  <c r="CM142" i="87"/>
  <c r="CM147" i="87"/>
  <c r="CM136" i="87"/>
  <c r="CM134" i="87"/>
  <c r="CM145" i="87"/>
  <c r="CM146" i="87"/>
  <c r="CM140" i="87"/>
  <c r="CM139" i="87"/>
  <c r="CM132" i="87"/>
  <c r="CL206" i="87"/>
  <c r="CL199" i="87"/>
  <c r="CL193" i="87"/>
  <c r="CL200" i="87"/>
  <c r="CL207" i="87"/>
  <c r="CL205" i="87"/>
  <c r="CL194" i="87"/>
  <c r="CL195" i="87"/>
  <c r="CL201" i="87"/>
  <c r="CL192" i="87"/>
  <c r="CL202" i="87"/>
  <c r="CL196" i="87"/>
  <c r="CL198" i="87"/>
  <c r="CL203" i="87"/>
  <c r="CL197" i="87"/>
  <c r="CL204" i="87"/>
  <c r="CJ215" i="87"/>
  <c r="CJ218" i="87"/>
  <c r="CJ220" i="87"/>
  <c r="CJ211" i="87"/>
  <c r="CJ210" i="87"/>
  <c r="CJ208" i="87"/>
  <c r="CD177" i="87"/>
  <c r="CJ219" i="87"/>
  <c r="CJ209" i="87"/>
  <c r="CJ213" i="87"/>
  <c r="CJ214" i="87"/>
  <c r="CJ216" i="87"/>
  <c r="CJ222" i="87"/>
  <c r="CJ221" i="87"/>
  <c r="CJ212" i="87"/>
  <c r="CJ217" i="87"/>
  <c r="CJ133" i="87"/>
  <c r="CJ138" i="87"/>
  <c r="CJ134" i="87"/>
  <c r="CJ146" i="87"/>
  <c r="CJ145" i="87"/>
  <c r="CJ142" i="87"/>
  <c r="CJ135" i="87"/>
  <c r="CJ147" i="87"/>
  <c r="CJ132" i="87"/>
  <c r="CJ136" i="87"/>
  <c r="CJ141" i="87"/>
  <c r="CD127" i="87"/>
  <c r="CJ139" i="87"/>
  <c r="CJ144" i="87"/>
  <c r="CJ140" i="87"/>
  <c r="CJ143" i="87"/>
  <c r="CJ137" i="87"/>
  <c r="CI195" i="87"/>
  <c r="CC187" i="87"/>
  <c r="CI206" i="87"/>
  <c r="CI200" i="87"/>
  <c r="CI196" i="87"/>
  <c r="CI193" i="87"/>
  <c r="CI199" i="87"/>
  <c r="CI198" i="87"/>
  <c r="CI201" i="87"/>
  <c r="CI192" i="87"/>
  <c r="CI207" i="87"/>
  <c r="CI205" i="87"/>
  <c r="CI203" i="87"/>
  <c r="CI202" i="87"/>
  <c r="CI204" i="87"/>
  <c r="CI197" i="87"/>
  <c r="CI194" i="87"/>
  <c r="CJ161" i="87"/>
  <c r="CJ162" i="87"/>
  <c r="CJ148" i="87"/>
  <c r="CJ152" i="87"/>
  <c r="CJ156" i="87"/>
  <c r="CD117" i="87"/>
  <c r="CJ157" i="87"/>
  <c r="CJ159" i="87"/>
  <c r="CJ151" i="87"/>
  <c r="CJ153" i="87"/>
  <c r="CJ158" i="87"/>
  <c r="CJ149" i="87"/>
  <c r="CJ160" i="87"/>
  <c r="CJ150" i="87"/>
  <c r="CJ154" i="87"/>
  <c r="CJ155" i="87"/>
  <c r="CE176" i="89"/>
  <c r="CP215" i="89" s="1"/>
  <c r="CE65" i="89"/>
  <c r="CL96" i="89" s="1"/>
  <c r="CE115" i="82"/>
  <c r="CJ156" i="82" s="1"/>
  <c r="CK193" i="85"/>
  <c r="CI193" i="85"/>
  <c r="CG193" i="85"/>
  <c r="CF193" i="85" s="1"/>
  <c r="CL193" i="85" s="1"/>
  <c r="CL49" i="85"/>
  <c r="CF3" i="85" s="1"/>
  <c r="CK195" i="85"/>
  <c r="CG195" i="85"/>
  <c r="CF195" i="85" s="1"/>
  <c r="CL195" i="85" s="1"/>
  <c r="CI195" i="85"/>
  <c r="CI194" i="85"/>
  <c r="CK194" i="85"/>
  <c r="CG194" i="85"/>
  <c r="CF194" i="85" s="1"/>
  <c r="CL194" i="85" s="1"/>
  <c r="CK197" i="85"/>
  <c r="CI197" i="85"/>
  <c r="CG197" i="85"/>
  <c r="CF197" i="85" s="1"/>
  <c r="CL197" i="85" s="1"/>
  <c r="CK201" i="85"/>
  <c r="CG201" i="85"/>
  <c r="CF201" i="85" s="1"/>
  <c r="CL201" i="85" s="1"/>
  <c r="CI201" i="85"/>
  <c r="CI202" i="85"/>
  <c r="CK202" i="85"/>
  <c r="CG202" i="85"/>
  <c r="CF202" i="85" s="1"/>
  <c r="CL202" i="85" s="1"/>
  <c r="CI204" i="85"/>
  <c r="CK204" i="85"/>
  <c r="CG204" i="85"/>
  <c r="CF204" i="85" s="1"/>
  <c r="CL204" i="85" s="1"/>
  <c r="CI192" i="85"/>
  <c r="CK192" i="85"/>
  <c r="CG192" i="85"/>
  <c r="CF192" i="85" s="1"/>
  <c r="CL192" i="85" s="1"/>
  <c r="CK207" i="85"/>
  <c r="CG207" i="85"/>
  <c r="CF207" i="85" s="1"/>
  <c r="CL207" i="85" s="1"/>
  <c r="CI207" i="85"/>
  <c r="CI206" i="85"/>
  <c r="CK206" i="85"/>
  <c r="CG206" i="85"/>
  <c r="CF206" i="85" s="1"/>
  <c r="CL206" i="85" s="1"/>
  <c r="CK199" i="85"/>
  <c r="CG199" i="85"/>
  <c r="CF199" i="85" s="1"/>
  <c r="CL199" i="85" s="1"/>
  <c r="CI199" i="85"/>
  <c r="CI198" i="85"/>
  <c r="CK198" i="85"/>
  <c r="CG198" i="85"/>
  <c r="CF198" i="85" s="1"/>
  <c r="CL198" i="85" s="1"/>
  <c r="CK203" i="85"/>
  <c r="CG203" i="85"/>
  <c r="CF203" i="85" s="1"/>
  <c r="CL203" i="85" s="1"/>
  <c r="CI203" i="85"/>
  <c r="CK205" i="85"/>
  <c r="CI205" i="85"/>
  <c r="CG205" i="85"/>
  <c r="CF205" i="85" s="1"/>
  <c r="CL205" i="85" s="1"/>
  <c r="CI200" i="85"/>
  <c r="CK200" i="85"/>
  <c r="CG200" i="85"/>
  <c r="CF200" i="85" s="1"/>
  <c r="CL200" i="85" s="1"/>
  <c r="CI196" i="85"/>
  <c r="CK196" i="85"/>
  <c r="CG196" i="85"/>
  <c r="CF196" i="85" s="1"/>
  <c r="CL196" i="85" s="1"/>
  <c r="CK147" i="85"/>
  <c r="CI147" i="85"/>
  <c r="CG147" i="85"/>
  <c r="CF147" i="85" s="1"/>
  <c r="CL147" i="85" s="1"/>
  <c r="CK133" i="85"/>
  <c r="CI133" i="85"/>
  <c r="CG133" i="85"/>
  <c r="CF133" i="85" s="1"/>
  <c r="CL133" i="85" s="1"/>
  <c r="CI146" i="85"/>
  <c r="CK146" i="85"/>
  <c r="CG146" i="85"/>
  <c r="CF146" i="85" s="1"/>
  <c r="CL146" i="85" s="1"/>
  <c r="CK145" i="85"/>
  <c r="CI145" i="85"/>
  <c r="CG145" i="85"/>
  <c r="CF145" i="85" s="1"/>
  <c r="CL145" i="85" s="1"/>
  <c r="CK137" i="85"/>
  <c r="CG137" i="85"/>
  <c r="CF137" i="85" s="1"/>
  <c r="CL137" i="85" s="1"/>
  <c r="CI137" i="85"/>
  <c r="CI144" i="85"/>
  <c r="CK144" i="85"/>
  <c r="CG144" i="85"/>
  <c r="CF144" i="85" s="1"/>
  <c r="CL144" i="85" s="1"/>
  <c r="CI138" i="85"/>
  <c r="CK138" i="85"/>
  <c r="CG138" i="85"/>
  <c r="CF138" i="85" s="1"/>
  <c r="CL138" i="85" s="1"/>
  <c r="CK143" i="85"/>
  <c r="CI143" i="85"/>
  <c r="CG143" i="85"/>
  <c r="CF143" i="85" s="1"/>
  <c r="CL143" i="85" s="1"/>
  <c r="CK141" i="85"/>
  <c r="CI141" i="85"/>
  <c r="CG141" i="85"/>
  <c r="CF141" i="85" s="1"/>
  <c r="CL141" i="85" s="1"/>
  <c r="CI142" i="85"/>
  <c r="CK142" i="85"/>
  <c r="CG142" i="85"/>
  <c r="CF142" i="85" s="1"/>
  <c r="CL142" i="85" s="1"/>
  <c r="CI136" i="85"/>
  <c r="CK136" i="85"/>
  <c r="CG136" i="85"/>
  <c r="CF136" i="85" s="1"/>
  <c r="CL136" i="85" s="1"/>
  <c r="CI132" i="85"/>
  <c r="CK132" i="85"/>
  <c r="CG132" i="85"/>
  <c r="CF132" i="85" s="1"/>
  <c r="CL132" i="85" s="1"/>
  <c r="CK139" i="85"/>
  <c r="CI139" i="85"/>
  <c r="CG139" i="85"/>
  <c r="CF139" i="85" s="1"/>
  <c r="CL139" i="85" s="1"/>
  <c r="CK135" i="85"/>
  <c r="CI135" i="85"/>
  <c r="CG135" i="85"/>
  <c r="CF135" i="85" s="1"/>
  <c r="CL135" i="85" s="1"/>
  <c r="CI134" i="85"/>
  <c r="CK134" i="85"/>
  <c r="CG134" i="85"/>
  <c r="CF134" i="85" s="1"/>
  <c r="CL134" i="85" s="1"/>
  <c r="CI140" i="85"/>
  <c r="CK140" i="85"/>
  <c r="CG140" i="85"/>
  <c r="CF140" i="85" s="1"/>
  <c r="CL140" i="85" s="1"/>
  <c r="CL108" i="85"/>
  <c r="CF62" i="85" s="1"/>
  <c r="CM77" i="87"/>
  <c r="CM81" i="87"/>
  <c r="CM85" i="87"/>
  <c r="CM89" i="87"/>
  <c r="CM93" i="87"/>
  <c r="CM97" i="87"/>
  <c r="CM78" i="87"/>
  <c r="CM82" i="87"/>
  <c r="CM86" i="87"/>
  <c r="CM90" i="87"/>
  <c r="CM94" i="87"/>
  <c r="CM79" i="87"/>
  <c r="CM84" i="87"/>
  <c r="CM87" i="87"/>
  <c r="CM92" i="87"/>
  <c r="CM95" i="87"/>
  <c r="CM100" i="87"/>
  <c r="CM104" i="87"/>
  <c r="CM101" i="87"/>
  <c r="CM105" i="87"/>
  <c r="CM91" i="87"/>
  <c r="CM96" i="87"/>
  <c r="CM103" i="87"/>
  <c r="CM80" i="87"/>
  <c r="CM102" i="87"/>
  <c r="CM83" i="87"/>
  <c r="CM88" i="87"/>
  <c r="CM98" i="87"/>
  <c r="CM107" i="87"/>
  <c r="CM99" i="87"/>
  <c r="CM106" i="87"/>
  <c r="CJ80" i="87"/>
  <c r="CJ84" i="87"/>
  <c r="CJ88" i="87"/>
  <c r="CJ92" i="87"/>
  <c r="CJ96" i="87"/>
  <c r="CJ77" i="87"/>
  <c r="CJ81" i="87"/>
  <c r="CJ85" i="87"/>
  <c r="CJ89" i="87"/>
  <c r="CJ93" i="87"/>
  <c r="CJ97" i="87"/>
  <c r="CJ78" i="87"/>
  <c r="CJ86" i="87"/>
  <c r="CJ94" i="87"/>
  <c r="CJ99" i="87"/>
  <c r="CJ103" i="87"/>
  <c r="CJ107" i="87"/>
  <c r="CJ83" i="87"/>
  <c r="CJ91" i="87"/>
  <c r="CJ100" i="87"/>
  <c r="CJ104" i="87"/>
  <c r="CJ90" i="87"/>
  <c r="CJ95" i="87"/>
  <c r="CJ102" i="87"/>
  <c r="CJ105" i="87"/>
  <c r="CJ79" i="87"/>
  <c r="CJ98" i="87"/>
  <c r="CD67" i="87"/>
  <c r="CJ82" i="87"/>
  <c r="CJ87" i="87"/>
  <c r="CJ106" i="87"/>
  <c r="CJ101" i="87"/>
  <c r="CM21" i="87"/>
  <c r="CM25" i="87"/>
  <c r="CM29" i="87"/>
  <c r="CM33" i="87"/>
  <c r="CM37" i="87"/>
  <c r="CM18" i="87"/>
  <c r="CM22" i="87"/>
  <c r="CM26" i="87"/>
  <c r="CM30" i="87"/>
  <c r="CM34" i="87"/>
  <c r="CM38" i="87"/>
  <c r="CM43" i="87"/>
  <c r="CM47" i="87"/>
  <c r="CM19" i="87"/>
  <c r="CM23" i="87"/>
  <c r="CM24" i="87"/>
  <c r="CM35" i="87"/>
  <c r="CM39" i="87"/>
  <c r="CM42" i="87"/>
  <c r="CM45" i="87"/>
  <c r="CM20" i="87"/>
  <c r="CM36" i="87"/>
  <c r="CM40" i="87"/>
  <c r="CM46" i="87"/>
  <c r="CM27" i="87"/>
  <c r="CM31" i="87"/>
  <c r="CM32" i="87"/>
  <c r="CM28" i="87"/>
  <c r="CM41" i="87"/>
  <c r="CM44" i="87"/>
  <c r="CM48" i="87"/>
  <c r="CJ20" i="87"/>
  <c r="CJ24" i="87"/>
  <c r="CJ28" i="87"/>
  <c r="CJ32" i="87"/>
  <c r="CJ36" i="87"/>
  <c r="CJ21" i="87"/>
  <c r="CJ25" i="87"/>
  <c r="CJ29" i="87"/>
  <c r="CJ33" i="87"/>
  <c r="CJ37" i="87"/>
  <c r="CJ23" i="87"/>
  <c r="CJ31" i="87"/>
  <c r="CJ39" i="87"/>
  <c r="CJ42" i="87"/>
  <c r="CJ46" i="87"/>
  <c r="CJ30" i="87"/>
  <c r="CJ44" i="87"/>
  <c r="CJ26" i="87"/>
  <c r="CJ27" i="87"/>
  <c r="CJ41" i="87"/>
  <c r="CJ48" i="87"/>
  <c r="CD8" i="87"/>
  <c r="CJ22" i="87"/>
  <c r="CJ38" i="87"/>
  <c r="CJ18" i="87"/>
  <c r="CJ45" i="87"/>
  <c r="CJ19" i="87"/>
  <c r="CJ34" i="87"/>
  <c r="CJ40" i="87"/>
  <c r="CJ35" i="87"/>
  <c r="CJ47" i="87"/>
  <c r="CJ43" i="87"/>
  <c r="CE182" i="89"/>
  <c r="CO193" i="89"/>
  <c r="CO195" i="89"/>
  <c r="CO197" i="89"/>
  <c r="CO199" i="89"/>
  <c r="CO201" i="89"/>
  <c r="CO203" i="89"/>
  <c r="CO205" i="89"/>
  <c r="CO192" i="89"/>
  <c r="CO196" i="89"/>
  <c r="CO200" i="89"/>
  <c r="CO204" i="89"/>
  <c r="CO207" i="89"/>
  <c r="CO194" i="89"/>
  <c r="CO198" i="89"/>
  <c r="CO202" i="89"/>
  <c r="CO206" i="89"/>
  <c r="CD177" i="89"/>
  <c r="CK209" i="89"/>
  <c r="CK211" i="89"/>
  <c r="CK213" i="89"/>
  <c r="CK215" i="89"/>
  <c r="CK217" i="89"/>
  <c r="CK219" i="89"/>
  <c r="CK220" i="89"/>
  <c r="CK222" i="89"/>
  <c r="CK210" i="89"/>
  <c r="CK218" i="89"/>
  <c r="CK214" i="89"/>
  <c r="CK221" i="89"/>
  <c r="CK216" i="89"/>
  <c r="CK212" i="89"/>
  <c r="CK208" i="89"/>
  <c r="CN193" i="89"/>
  <c r="CN195" i="89"/>
  <c r="CN197" i="89"/>
  <c r="CN199" i="89"/>
  <c r="CN201" i="89"/>
  <c r="CN203" i="89"/>
  <c r="CN205" i="89"/>
  <c r="CN207" i="89"/>
  <c r="CN192" i="89"/>
  <c r="CN196" i="89"/>
  <c r="CN198" i="89"/>
  <c r="CN204" i="89"/>
  <c r="CN202" i="89"/>
  <c r="CN200" i="89"/>
  <c r="CN206" i="89"/>
  <c r="CN194" i="89"/>
  <c r="CD187" i="89"/>
  <c r="CK193" i="89"/>
  <c r="CK195" i="89"/>
  <c r="CK197" i="89"/>
  <c r="CK199" i="89"/>
  <c r="CK201" i="89"/>
  <c r="CK203" i="89"/>
  <c r="CK205" i="89"/>
  <c r="CK207" i="89"/>
  <c r="CK196" i="89"/>
  <c r="CK204" i="89"/>
  <c r="CK192" i="89"/>
  <c r="CK198" i="89"/>
  <c r="CK200" i="89"/>
  <c r="CK206" i="89"/>
  <c r="CK194" i="89"/>
  <c r="CK202" i="89"/>
  <c r="CO209" i="89"/>
  <c r="CO211" i="89"/>
  <c r="CO213" i="89"/>
  <c r="CO215" i="89"/>
  <c r="CO217" i="89"/>
  <c r="CO219" i="89"/>
  <c r="CO220" i="89"/>
  <c r="CO222" i="89"/>
  <c r="CO214" i="89"/>
  <c r="CO210" i="89"/>
  <c r="CO218" i="89"/>
  <c r="CO212" i="89"/>
  <c r="CO208" i="89"/>
  <c r="CO221" i="89"/>
  <c r="CO216" i="89"/>
  <c r="CE72" i="89"/>
  <c r="CE186" i="89"/>
  <c r="CP195" i="89" s="1"/>
  <c r="CC187" i="89"/>
  <c r="CJ193" i="89"/>
  <c r="CJ195" i="89"/>
  <c r="CJ197" i="89"/>
  <c r="CJ199" i="89"/>
  <c r="CJ201" i="89"/>
  <c r="CJ203" i="89"/>
  <c r="CJ205" i="89"/>
  <c r="CJ207" i="89"/>
  <c r="CJ198" i="89"/>
  <c r="CJ204" i="89"/>
  <c r="CJ202" i="89"/>
  <c r="CJ200" i="89"/>
  <c r="CJ206" i="89"/>
  <c r="CJ194" i="89"/>
  <c r="CJ196" i="89"/>
  <c r="CJ192" i="89"/>
  <c r="CE175" i="89"/>
  <c r="CE185" i="89"/>
  <c r="CD127" i="89"/>
  <c r="CK133" i="89"/>
  <c r="CK135" i="89"/>
  <c r="CK137" i="89"/>
  <c r="CK139" i="89"/>
  <c r="CK141" i="89"/>
  <c r="CK143" i="89"/>
  <c r="CK136" i="89"/>
  <c r="CK144" i="89"/>
  <c r="CK145" i="89"/>
  <c r="CK146" i="89"/>
  <c r="CK147" i="89"/>
  <c r="CK132" i="89"/>
  <c r="CK140" i="89"/>
  <c r="CK138" i="89"/>
  <c r="CK142" i="89"/>
  <c r="CK134" i="89"/>
  <c r="CN133" i="89"/>
  <c r="CN135" i="89"/>
  <c r="CN145" i="89"/>
  <c r="CN132" i="89"/>
  <c r="CN137" i="89"/>
  <c r="CN141" i="89"/>
  <c r="CN138" i="89"/>
  <c r="CN147" i="89"/>
  <c r="CN136" i="89"/>
  <c r="CN139" i="89"/>
  <c r="CN142" i="89"/>
  <c r="CN134" i="89"/>
  <c r="CN144" i="89"/>
  <c r="CN143" i="89"/>
  <c r="CN146" i="89"/>
  <c r="CN140" i="89"/>
  <c r="CE122" i="89"/>
  <c r="CO148" i="89"/>
  <c r="CO150" i="89"/>
  <c r="CO152" i="89"/>
  <c r="CO154" i="89"/>
  <c r="CO156" i="89"/>
  <c r="CO158" i="89"/>
  <c r="CO159" i="89"/>
  <c r="CO161" i="89"/>
  <c r="CO153" i="89"/>
  <c r="CO151" i="89"/>
  <c r="CO149" i="89"/>
  <c r="CO157" i="89"/>
  <c r="CO160" i="89"/>
  <c r="CO162" i="89"/>
  <c r="CO155" i="89"/>
  <c r="CO133" i="89"/>
  <c r="CO135" i="89"/>
  <c r="CO137" i="89"/>
  <c r="CO139" i="89"/>
  <c r="CO141" i="89"/>
  <c r="CO143" i="89"/>
  <c r="CO132" i="89"/>
  <c r="CO136" i="89"/>
  <c r="CO140" i="89"/>
  <c r="CO144" i="89"/>
  <c r="CO145" i="89"/>
  <c r="CO146" i="89"/>
  <c r="CO142" i="89"/>
  <c r="CO134" i="89"/>
  <c r="CO147" i="89"/>
  <c r="CO138" i="89"/>
  <c r="CE116" i="89"/>
  <c r="CD117" i="89"/>
  <c r="CK148" i="89"/>
  <c r="CK150" i="89"/>
  <c r="CK152" i="89"/>
  <c r="CK154" i="89"/>
  <c r="CK156" i="89"/>
  <c r="CK158" i="89"/>
  <c r="CK159" i="89"/>
  <c r="CK161" i="89"/>
  <c r="CK149" i="89"/>
  <c r="CK151" i="89"/>
  <c r="CK153" i="89"/>
  <c r="CK155" i="89"/>
  <c r="CK157" i="89"/>
  <c r="CK160" i="89"/>
  <c r="CK162" i="89"/>
  <c r="CE126" i="89"/>
  <c r="CP146" i="89" s="1"/>
  <c r="CC127" i="89"/>
  <c r="CJ133" i="89"/>
  <c r="CJ135" i="89"/>
  <c r="CJ142" i="89"/>
  <c r="CJ134" i="89"/>
  <c r="CJ139" i="89"/>
  <c r="CJ144" i="89"/>
  <c r="CJ147" i="89"/>
  <c r="CJ136" i="89"/>
  <c r="CJ146" i="89"/>
  <c r="CJ140" i="89"/>
  <c r="CJ138" i="89"/>
  <c r="CJ137" i="89"/>
  <c r="CJ141" i="89"/>
  <c r="CJ145" i="89"/>
  <c r="CJ143" i="89"/>
  <c r="CJ132" i="89"/>
  <c r="CE115" i="89"/>
  <c r="CE125" i="89"/>
  <c r="CL147" i="89" s="1"/>
  <c r="CE13" i="89"/>
  <c r="CK77" i="89"/>
  <c r="CK79" i="89"/>
  <c r="CK81" i="89"/>
  <c r="CK83" i="89"/>
  <c r="CK85" i="89"/>
  <c r="CK87" i="89"/>
  <c r="CK89" i="89"/>
  <c r="CK91" i="89"/>
  <c r="CK78" i="89"/>
  <c r="CK80" i="89"/>
  <c r="CK82" i="89"/>
  <c r="CK84" i="89"/>
  <c r="CK86" i="89"/>
  <c r="CK88" i="89"/>
  <c r="CK90" i="89"/>
  <c r="CK92" i="89"/>
  <c r="CK94" i="89"/>
  <c r="CK96" i="89"/>
  <c r="CK98" i="89"/>
  <c r="CK93" i="89"/>
  <c r="CK95" i="89"/>
  <c r="CK97" i="89"/>
  <c r="CD67" i="89"/>
  <c r="CK99" i="89"/>
  <c r="CK100" i="89"/>
  <c r="CK102" i="89"/>
  <c r="CK104" i="89"/>
  <c r="CK106" i="89"/>
  <c r="CK101" i="89"/>
  <c r="CK103" i="89"/>
  <c r="CK105" i="89"/>
  <c r="CK107" i="89"/>
  <c r="CO77" i="89"/>
  <c r="CO79" i="89"/>
  <c r="CO81" i="89"/>
  <c r="CO83" i="89"/>
  <c r="CO85" i="89"/>
  <c r="CO87" i="89"/>
  <c r="CO89" i="89"/>
  <c r="CO91" i="89"/>
  <c r="CO78" i="89"/>
  <c r="CO80" i="89"/>
  <c r="CO82" i="89"/>
  <c r="CO84" i="89"/>
  <c r="CO86" i="89"/>
  <c r="CO88" i="89"/>
  <c r="CO90" i="89"/>
  <c r="CO92" i="89"/>
  <c r="CO94" i="89"/>
  <c r="CO96" i="89"/>
  <c r="CO98" i="89"/>
  <c r="CO99" i="89"/>
  <c r="CO106" i="89"/>
  <c r="CO93" i="89"/>
  <c r="CO100" i="89"/>
  <c r="CO102" i="89"/>
  <c r="CO104" i="89"/>
  <c r="CO105" i="89"/>
  <c r="CO95" i="89"/>
  <c r="CO97" i="89"/>
  <c r="CO101" i="89"/>
  <c r="CO103" i="89"/>
  <c r="CO107" i="89"/>
  <c r="CE66" i="89"/>
  <c r="CO18" i="89"/>
  <c r="CO20" i="89"/>
  <c r="CO22" i="89"/>
  <c r="CO24" i="89"/>
  <c r="CO26" i="89"/>
  <c r="CO28" i="89"/>
  <c r="CO30" i="89"/>
  <c r="CO32" i="89"/>
  <c r="CO19" i="89"/>
  <c r="CO21" i="89"/>
  <c r="CO23" i="89"/>
  <c r="CO25" i="89"/>
  <c r="CO27" i="89"/>
  <c r="CO29" i="89"/>
  <c r="CO31" i="89"/>
  <c r="CO33" i="89"/>
  <c r="CO35" i="89"/>
  <c r="CO37" i="89"/>
  <c r="CO39" i="89"/>
  <c r="CO41" i="89"/>
  <c r="CO43" i="89"/>
  <c r="CO45" i="89"/>
  <c r="CO36" i="89"/>
  <c r="CO40" i="89"/>
  <c r="CO44" i="89"/>
  <c r="CO47" i="89"/>
  <c r="CO42" i="89"/>
  <c r="CO46" i="89"/>
  <c r="CO34" i="89"/>
  <c r="CO48" i="89"/>
  <c r="CO38" i="89"/>
  <c r="CE7" i="89"/>
  <c r="CK18" i="89"/>
  <c r="CK20" i="89"/>
  <c r="CK22" i="89"/>
  <c r="CK24" i="89"/>
  <c r="CK26" i="89"/>
  <c r="CK28" i="89"/>
  <c r="CK30" i="89"/>
  <c r="CK32" i="89"/>
  <c r="CD8" i="89"/>
  <c r="CK19" i="89"/>
  <c r="CK21" i="89"/>
  <c r="CK23" i="89"/>
  <c r="CK25" i="89"/>
  <c r="CK35" i="89"/>
  <c r="CK37" i="89"/>
  <c r="CK39" i="89"/>
  <c r="CK41" i="89"/>
  <c r="CK43" i="89"/>
  <c r="CK45" i="89"/>
  <c r="CK29" i="89"/>
  <c r="CK47" i="89"/>
  <c r="CK27" i="89"/>
  <c r="CK36" i="89"/>
  <c r="CK40" i="89"/>
  <c r="CK44" i="89"/>
  <c r="CK31" i="89"/>
  <c r="CK34" i="89"/>
  <c r="CK38" i="89"/>
  <c r="CK42" i="89"/>
  <c r="CK33" i="89"/>
  <c r="CK46" i="89"/>
  <c r="CK48" i="89"/>
  <c r="CE6" i="89"/>
  <c r="CJ209" i="82"/>
  <c r="CJ220" i="82"/>
  <c r="CJ216" i="82"/>
  <c r="CJ222" i="82"/>
  <c r="CJ192" i="82"/>
  <c r="CJ193" i="82"/>
  <c r="CJ194" i="82"/>
  <c r="CJ195" i="82"/>
  <c r="CJ196" i="82"/>
  <c r="CJ197" i="82"/>
  <c r="CJ198" i="82"/>
  <c r="CJ199" i="82"/>
  <c r="CJ200" i="82"/>
  <c r="CJ201" i="82"/>
  <c r="CJ202" i="82"/>
  <c r="CJ203" i="82"/>
  <c r="CJ204" i="82"/>
  <c r="CE182" i="82"/>
  <c r="CJ207" i="82"/>
  <c r="CJ206" i="82"/>
  <c r="CJ205" i="82"/>
  <c r="CK177" i="82"/>
  <c r="CM192" i="82"/>
  <c r="CM193" i="82"/>
  <c r="CM194" i="82"/>
  <c r="CM195" i="82"/>
  <c r="CM196" i="82"/>
  <c r="CM197" i="82"/>
  <c r="CM198" i="82"/>
  <c r="CM199" i="82"/>
  <c r="CM200" i="82"/>
  <c r="CM204" i="82"/>
  <c r="CM201" i="82"/>
  <c r="CM205" i="82"/>
  <c r="CM203" i="82"/>
  <c r="CM207" i="82"/>
  <c r="CM202" i="82"/>
  <c r="CM206" i="82"/>
  <c r="CM208" i="82"/>
  <c r="CM212" i="82"/>
  <c r="CM216" i="82"/>
  <c r="CM211" i="82"/>
  <c r="CM214" i="82"/>
  <c r="CM217" i="82"/>
  <c r="CM221" i="82"/>
  <c r="CM218" i="82"/>
  <c r="CM222" i="82"/>
  <c r="CM210" i="82"/>
  <c r="CM213" i="82"/>
  <c r="CM220" i="82"/>
  <c r="CM209" i="82"/>
  <c r="CM219" i="82"/>
  <c r="CM215" i="82"/>
  <c r="CE186" i="82"/>
  <c r="CN175" i="82" s="1"/>
  <c r="CD177" i="82"/>
  <c r="CI209" i="82"/>
  <c r="CI213" i="82"/>
  <c r="CI208" i="82"/>
  <c r="CI212" i="82"/>
  <c r="CI215" i="82"/>
  <c r="CI210" i="82"/>
  <c r="CI216" i="82"/>
  <c r="CI217" i="82"/>
  <c r="CI221" i="82"/>
  <c r="CI214" i="82"/>
  <c r="CI220" i="82"/>
  <c r="CI211" i="82"/>
  <c r="CI219" i="82"/>
  <c r="CI222" i="82"/>
  <c r="CK183" i="82"/>
  <c r="CN183" i="82" s="1"/>
  <c r="CI218" i="82"/>
  <c r="CD187" i="82"/>
  <c r="CI192" i="82"/>
  <c r="CI193" i="82"/>
  <c r="CI194" i="82"/>
  <c r="CI195" i="82"/>
  <c r="CI196" i="82"/>
  <c r="CI197" i="82"/>
  <c r="CI198" i="82"/>
  <c r="CI199" i="82"/>
  <c r="CI200" i="82"/>
  <c r="CI202" i="82"/>
  <c r="CI203" i="82"/>
  <c r="CI206" i="82"/>
  <c r="CI201" i="82"/>
  <c r="CI207" i="82"/>
  <c r="CI204" i="82"/>
  <c r="CI205" i="82"/>
  <c r="CK176" i="82"/>
  <c r="CN177" i="82" s="1"/>
  <c r="CE176" i="82"/>
  <c r="CJ136" i="82"/>
  <c r="CJ138" i="82"/>
  <c r="CJ139" i="82"/>
  <c r="CJ140" i="82"/>
  <c r="CJ142" i="82"/>
  <c r="CJ143" i="82"/>
  <c r="CJ144" i="82"/>
  <c r="CE122" i="82"/>
  <c r="CJ146" i="82"/>
  <c r="CJ147" i="82"/>
  <c r="CJ145" i="82"/>
  <c r="CJ135" i="82"/>
  <c r="CJ132" i="82"/>
  <c r="CJ133" i="82"/>
  <c r="CM156" i="82"/>
  <c r="CM148" i="82"/>
  <c r="CM149" i="82"/>
  <c r="CM150" i="82"/>
  <c r="CM151" i="82"/>
  <c r="CM152" i="82"/>
  <c r="CM153" i="82"/>
  <c r="CM154" i="82"/>
  <c r="CM155" i="82"/>
  <c r="CM157" i="82"/>
  <c r="CM160" i="82"/>
  <c r="CM161" i="82"/>
  <c r="CM159" i="82"/>
  <c r="CM162" i="82"/>
  <c r="CM158" i="82"/>
  <c r="CD117" i="82"/>
  <c r="CI157" i="82"/>
  <c r="CI156" i="82"/>
  <c r="CI148" i="82"/>
  <c r="CI149" i="82"/>
  <c r="CI150" i="82"/>
  <c r="CI151" i="82"/>
  <c r="CI152" i="82"/>
  <c r="CI153" i="82"/>
  <c r="CI154" i="82"/>
  <c r="CI155" i="82"/>
  <c r="CI162" i="82"/>
  <c r="CI160" i="82"/>
  <c r="CI158" i="82"/>
  <c r="CI161" i="82"/>
  <c r="CK123" i="82"/>
  <c r="CN123" i="82" s="1"/>
  <c r="CI159" i="82"/>
  <c r="CN146" i="82"/>
  <c r="CM132" i="82"/>
  <c r="CM133" i="82"/>
  <c r="CM134" i="82"/>
  <c r="CM135" i="82"/>
  <c r="CM136" i="82"/>
  <c r="CM137" i="82"/>
  <c r="CM138" i="82"/>
  <c r="CM139" i="82"/>
  <c r="CM140" i="82"/>
  <c r="CM144" i="82"/>
  <c r="CM146" i="82"/>
  <c r="CM141" i="82"/>
  <c r="CM145" i="82"/>
  <c r="CM143" i="82"/>
  <c r="CM147" i="82"/>
  <c r="CM142" i="82"/>
  <c r="CD127" i="82"/>
  <c r="CI132" i="82"/>
  <c r="CI133" i="82"/>
  <c r="CI134" i="82"/>
  <c r="CI135" i="82"/>
  <c r="CI136" i="82"/>
  <c r="CI137" i="82"/>
  <c r="CI138" i="82"/>
  <c r="CI139" i="82"/>
  <c r="CI140" i="82"/>
  <c r="CI142" i="82"/>
  <c r="CI143" i="82"/>
  <c r="CI146" i="82"/>
  <c r="CI141" i="82"/>
  <c r="CI147" i="82"/>
  <c r="CI145" i="82"/>
  <c r="CI144" i="82"/>
  <c r="CK116" i="82"/>
  <c r="CN117" i="82" s="1"/>
  <c r="CE116" i="82"/>
  <c r="CD72" i="82"/>
  <c r="CI78" i="82"/>
  <c r="CI82" i="82"/>
  <c r="CI88" i="82"/>
  <c r="CI92" i="82"/>
  <c r="CI77" i="82"/>
  <c r="CI80" i="82"/>
  <c r="CI84" i="82"/>
  <c r="CI89" i="82"/>
  <c r="CI93" i="82"/>
  <c r="CI95" i="82"/>
  <c r="CI97" i="82"/>
  <c r="CI98" i="82"/>
  <c r="CI99" i="82"/>
  <c r="CI100" i="82"/>
  <c r="CI101" i="82"/>
  <c r="CI102" i="82"/>
  <c r="CI103" i="82"/>
  <c r="CI104" i="82"/>
  <c r="CI105" i="82"/>
  <c r="CI106" i="82"/>
  <c r="CI107" i="82"/>
  <c r="CI81" i="82"/>
  <c r="CI83" i="82"/>
  <c r="CI85" i="82"/>
  <c r="CI86" i="82"/>
  <c r="CI94" i="82"/>
  <c r="CI96" i="82"/>
  <c r="CI91" i="82"/>
  <c r="CI79" i="82"/>
  <c r="CI87" i="82"/>
  <c r="CI90" i="82"/>
  <c r="CK65" i="82"/>
  <c r="CN66" i="82" s="1"/>
  <c r="CE70" i="82"/>
  <c r="CM80" i="82"/>
  <c r="CM84" i="82"/>
  <c r="CM87" i="82"/>
  <c r="CM91" i="82"/>
  <c r="CM79" i="82"/>
  <c r="CM77" i="82"/>
  <c r="CM78" i="82"/>
  <c r="CM86" i="82"/>
  <c r="CM88" i="82"/>
  <c r="CM90" i="82"/>
  <c r="CM92" i="82"/>
  <c r="CM97" i="82"/>
  <c r="CM98" i="82"/>
  <c r="CM99" i="82"/>
  <c r="CM100" i="82"/>
  <c r="CM101" i="82"/>
  <c r="CM102" i="82"/>
  <c r="CM103" i="82"/>
  <c r="CM104" i="82"/>
  <c r="CM105" i="82"/>
  <c r="CM106" i="82"/>
  <c r="CM107" i="82"/>
  <c r="CM94" i="82"/>
  <c r="CM81" i="82"/>
  <c r="CM82" i="82"/>
  <c r="CM85" i="82"/>
  <c r="CM95" i="82"/>
  <c r="CM83" i="82"/>
  <c r="CM89" i="82"/>
  <c r="CM93" i="82"/>
  <c r="CM96" i="82"/>
  <c r="CN77" i="82"/>
  <c r="CN81" i="82"/>
  <c r="CN85" i="82"/>
  <c r="CN88" i="82"/>
  <c r="CN92" i="82"/>
  <c r="CN93" i="82"/>
  <c r="CN94" i="82"/>
  <c r="CN95" i="82"/>
  <c r="CN96" i="82"/>
  <c r="CN79" i="82"/>
  <c r="CN82" i="82"/>
  <c r="CN78" i="82"/>
  <c r="CN86" i="82"/>
  <c r="CN87" i="82"/>
  <c r="CN90" i="82"/>
  <c r="CN91" i="82"/>
  <c r="CN83" i="82"/>
  <c r="CN89" i="82"/>
  <c r="CN98" i="82"/>
  <c r="CN100" i="82"/>
  <c r="CN102" i="82"/>
  <c r="CN104" i="82"/>
  <c r="CN106" i="82"/>
  <c r="CN80" i="82"/>
  <c r="CN84" i="82"/>
  <c r="CN97" i="82"/>
  <c r="CN99" i="82"/>
  <c r="CN101" i="82"/>
  <c r="CN103" i="82"/>
  <c r="CN105" i="82"/>
  <c r="CN107" i="82"/>
  <c r="CI24" i="82"/>
  <c r="CI26" i="82"/>
  <c r="CI33" i="82"/>
  <c r="CI37" i="82"/>
  <c r="CI41" i="82"/>
  <c r="CI42" i="82"/>
  <c r="CI43" i="82"/>
  <c r="CI44" i="82"/>
  <c r="CI23" i="82"/>
  <c r="CI29" i="82"/>
  <c r="CI32" i="82"/>
  <c r="CI36" i="82"/>
  <c r="CI40" i="82"/>
  <c r="CI19" i="82"/>
  <c r="CI20" i="82"/>
  <c r="CI22" i="82"/>
  <c r="CI28" i="82"/>
  <c r="CI31" i="82"/>
  <c r="CI27" i="82"/>
  <c r="CI46" i="82"/>
  <c r="CI48" i="82"/>
  <c r="CI34" i="82"/>
  <c r="CI38" i="82"/>
  <c r="CD13" i="82"/>
  <c r="CI18" i="82"/>
  <c r="CI30" i="82"/>
  <c r="CI35" i="82"/>
  <c r="CI45" i="82"/>
  <c r="CI47" i="82"/>
  <c r="CI39" i="82"/>
  <c r="CI25" i="82"/>
  <c r="CK6" i="82"/>
  <c r="CN7" i="82" s="1"/>
  <c r="CI21" i="82"/>
  <c r="CE11" i="82"/>
  <c r="CM23" i="82"/>
  <c r="CM27" i="82"/>
  <c r="CM29" i="82"/>
  <c r="CM18" i="82"/>
  <c r="CM22" i="82"/>
  <c r="CM25" i="82"/>
  <c r="CM32" i="82"/>
  <c r="CM36" i="82"/>
  <c r="CM40" i="82"/>
  <c r="CM41" i="82"/>
  <c r="CM42" i="82"/>
  <c r="CM43" i="82"/>
  <c r="CM44" i="82"/>
  <c r="CM24" i="82"/>
  <c r="CM30" i="82"/>
  <c r="CM31" i="82"/>
  <c r="CM35" i="82"/>
  <c r="CM39" i="82"/>
  <c r="CM21" i="82"/>
  <c r="CM26" i="82"/>
  <c r="CM33" i="82"/>
  <c r="CM37" i="82"/>
  <c r="CM28" i="82"/>
  <c r="CM45" i="82"/>
  <c r="CM47" i="82"/>
  <c r="CM19" i="82"/>
  <c r="CM20" i="82"/>
  <c r="CM34" i="82"/>
  <c r="CM38" i="82"/>
  <c r="CM46" i="82"/>
  <c r="CM48" i="82"/>
  <c r="CN18" i="82"/>
  <c r="CN19" i="82"/>
  <c r="CN20" i="82"/>
  <c r="CN21" i="82"/>
  <c r="CN22" i="82"/>
  <c r="CN23" i="82"/>
  <c r="CN24" i="82"/>
  <c r="CN25" i="82"/>
  <c r="CN26" i="82"/>
  <c r="CN27" i="82"/>
  <c r="CN28" i="82"/>
  <c r="CN29" i="82"/>
  <c r="CN30" i="82"/>
  <c r="CN33" i="82"/>
  <c r="CN37" i="82"/>
  <c r="CN32" i="82"/>
  <c r="CN36" i="82"/>
  <c r="CN40" i="82"/>
  <c r="CN41" i="82"/>
  <c r="CN42" i="82"/>
  <c r="CN43" i="82"/>
  <c r="CN44" i="82"/>
  <c r="CN45" i="82"/>
  <c r="CN46" i="82"/>
  <c r="CN47" i="82"/>
  <c r="CN48" i="82"/>
  <c r="CN31" i="82"/>
  <c r="CN35" i="82"/>
  <c r="CN39" i="82"/>
  <c r="CN38" i="82"/>
  <c r="CN34" i="82"/>
  <c r="AC42" i="82"/>
  <c r="AC10" i="85"/>
  <c r="AC11" i="87"/>
  <c r="AC37" i="82"/>
  <c r="AC12" i="89"/>
  <c r="Y12" i="82"/>
  <c r="AC12" i="82"/>
  <c r="CL94" i="89" l="1"/>
  <c r="CJ218" i="82"/>
  <c r="CJ217" i="82"/>
  <c r="CR217" i="82" s="1"/>
  <c r="CJ208" i="82"/>
  <c r="CR208" i="82" s="1"/>
  <c r="CJ211" i="82"/>
  <c r="CS211" i="82" s="1"/>
  <c r="CW211" i="82" s="1"/>
  <c r="CN133" i="82"/>
  <c r="CQ133" i="82" s="1"/>
  <c r="CN141" i="82"/>
  <c r="CJ160" i="82"/>
  <c r="CR160" i="82" s="1"/>
  <c r="CN137" i="82"/>
  <c r="CQ137" i="82" s="1"/>
  <c r="CP214" i="89"/>
  <c r="CP220" i="89"/>
  <c r="CP217" i="89"/>
  <c r="CP208" i="89"/>
  <c r="CP210" i="89"/>
  <c r="CP216" i="89"/>
  <c r="CP219" i="89"/>
  <c r="CL95" i="89"/>
  <c r="CG95" i="89" s="1"/>
  <c r="CF95" i="89" s="1"/>
  <c r="CL93" i="89"/>
  <c r="CH93" i="89" s="1"/>
  <c r="CL81" i="89"/>
  <c r="CU81" i="89" s="1"/>
  <c r="CL103" i="89"/>
  <c r="CT103" i="89" s="1"/>
  <c r="CL77" i="89"/>
  <c r="CU77" i="89" s="1"/>
  <c r="CL101" i="89"/>
  <c r="CU101" i="89" s="1"/>
  <c r="CL102" i="89"/>
  <c r="CT102" i="89" s="1"/>
  <c r="CL86" i="89"/>
  <c r="CG86" i="89" s="1"/>
  <c r="CF86" i="89" s="1"/>
  <c r="CL83" i="89"/>
  <c r="CH83" i="89" s="1"/>
  <c r="CL84" i="89"/>
  <c r="CH84" i="89" s="1"/>
  <c r="CL100" i="89"/>
  <c r="CH100" i="89" s="1"/>
  <c r="CL82" i="89"/>
  <c r="CU82" i="89" s="1"/>
  <c r="CL79" i="89"/>
  <c r="CU79" i="89" s="1"/>
  <c r="CL80" i="89"/>
  <c r="CU80" i="89" s="1"/>
  <c r="CL106" i="89"/>
  <c r="CH106" i="89" s="1"/>
  <c r="CL89" i="89"/>
  <c r="CG89" i="89" s="1"/>
  <c r="CF89" i="89" s="1"/>
  <c r="CL99" i="89"/>
  <c r="CH99" i="89" s="1"/>
  <c r="CL78" i="89"/>
  <c r="CU78" i="89" s="1"/>
  <c r="CL91" i="89"/>
  <c r="CU91" i="89" s="1"/>
  <c r="CL107" i="89"/>
  <c r="CG107" i="89" s="1"/>
  <c r="CF107" i="89" s="1"/>
  <c r="CL92" i="89"/>
  <c r="CG92" i="89" s="1"/>
  <c r="CF92" i="89" s="1"/>
  <c r="CL98" i="89"/>
  <c r="CT98" i="89" s="1"/>
  <c r="CL104" i="89"/>
  <c r="CH104" i="89" s="1"/>
  <c r="CL85" i="89"/>
  <c r="CU85" i="89" s="1"/>
  <c r="CL90" i="89"/>
  <c r="CT90" i="89" s="1"/>
  <c r="CL97" i="89"/>
  <c r="CU97" i="89" s="1"/>
  <c r="CL87" i="89"/>
  <c r="CG87" i="89" s="1"/>
  <c r="CF87" i="89" s="1"/>
  <c r="CL105" i="89"/>
  <c r="CT105" i="89" s="1"/>
  <c r="CL88" i="89"/>
  <c r="CH88" i="89" s="1"/>
  <c r="CP222" i="89"/>
  <c r="CP218" i="89"/>
  <c r="CP209" i="89"/>
  <c r="CP212" i="89"/>
  <c r="CP221" i="89"/>
  <c r="CP213" i="89"/>
  <c r="CP211" i="89"/>
  <c r="CJ153" i="82"/>
  <c r="CR153" i="82" s="1"/>
  <c r="CJ148" i="82"/>
  <c r="CV148" i="82" s="1"/>
  <c r="CJ161" i="82"/>
  <c r="CV161" i="82" s="1"/>
  <c r="CJ152" i="82"/>
  <c r="CS152" i="82" s="1"/>
  <c r="CW152" i="82" s="1"/>
  <c r="CK124" i="82"/>
  <c r="CN124" i="82" s="1"/>
  <c r="CE117" i="82"/>
  <c r="CJ159" i="82"/>
  <c r="CR159" i="82" s="1"/>
  <c r="CJ151" i="82"/>
  <c r="CR151" i="82" s="1"/>
  <c r="CJ157" i="82"/>
  <c r="CV157" i="82" s="1"/>
  <c r="CJ158" i="82"/>
  <c r="CV158" i="82" s="1"/>
  <c r="CJ155" i="82"/>
  <c r="CV155" i="82" s="1"/>
  <c r="CJ149" i="82"/>
  <c r="CG149" i="82" s="1"/>
  <c r="CF149" i="82" s="1"/>
  <c r="CN132" i="82"/>
  <c r="CR132" i="82" s="1"/>
  <c r="CN144" i="82"/>
  <c r="CV144" i="82" s="1"/>
  <c r="CN140" i="82"/>
  <c r="CR140" i="82" s="1"/>
  <c r="CN136" i="82"/>
  <c r="CV136" i="82" s="1"/>
  <c r="CN115" i="82"/>
  <c r="CE127" i="82"/>
  <c r="CN147" i="82"/>
  <c r="CQ147" i="82" s="1"/>
  <c r="CN143" i="82"/>
  <c r="CR143" i="82" s="1"/>
  <c r="CN139" i="82"/>
  <c r="CV139" i="82" s="1"/>
  <c r="CN135" i="82"/>
  <c r="CQ135" i="82" s="1"/>
  <c r="CE177" i="82"/>
  <c r="CJ219" i="82"/>
  <c r="CV219" i="82" s="1"/>
  <c r="CJ215" i="82"/>
  <c r="CG215" i="82" s="1"/>
  <c r="CF215" i="82" s="1"/>
  <c r="CJ213" i="82"/>
  <c r="CG213" i="82" s="1"/>
  <c r="CF213" i="82" s="1"/>
  <c r="CJ214" i="82"/>
  <c r="CR214" i="82" s="1"/>
  <c r="CN134" i="82"/>
  <c r="CN145" i="82"/>
  <c r="CV145" i="82" s="1"/>
  <c r="CN142" i="82"/>
  <c r="CQ142" i="82" s="1"/>
  <c r="CK117" i="82"/>
  <c r="CN118" i="82" s="1"/>
  <c r="CJ134" i="82"/>
  <c r="CJ141" i="82"/>
  <c r="CJ221" i="82"/>
  <c r="CG221" i="82" s="1"/>
  <c r="CF221" i="82" s="1"/>
  <c r="CJ212" i="82"/>
  <c r="CG212" i="82" s="1"/>
  <c r="CF212" i="82" s="1"/>
  <c r="CK184" i="82"/>
  <c r="CN184" i="82" s="1"/>
  <c r="CJ162" i="82"/>
  <c r="CG162" i="82" s="1"/>
  <c r="CF162" i="82" s="1"/>
  <c r="CJ154" i="82"/>
  <c r="CG154" i="82" s="1"/>
  <c r="CF154" i="82" s="1"/>
  <c r="CJ150" i="82"/>
  <c r="CG150" i="82" s="1"/>
  <c r="CF150" i="82" s="1"/>
  <c r="CN205" i="82"/>
  <c r="CR205" i="82" s="1"/>
  <c r="CP150" i="87"/>
  <c r="CH150" i="87"/>
  <c r="CQ150" i="87" s="1"/>
  <c r="CO150" i="87"/>
  <c r="CG150" i="87"/>
  <c r="CF150" i="87" s="1"/>
  <c r="CR204" i="87"/>
  <c r="CK204" i="87"/>
  <c r="CH204" i="87"/>
  <c r="CN204" i="87"/>
  <c r="CK199" i="87"/>
  <c r="CN199" i="87"/>
  <c r="CH199" i="87"/>
  <c r="CR199" i="87"/>
  <c r="CG147" i="87"/>
  <c r="CF147" i="87" s="1"/>
  <c r="CO147" i="87"/>
  <c r="CP147" i="87"/>
  <c r="CP216" i="87"/>
  <c r="CO216" i="87"/>
  <c r="CH216" i="87"/>
  <c r="CQ216" i="87" s="1"/>
  <c r="CG216" i="87"/>
  <c r="CF216" i="87" s="1"/>
  <c r="CR137" i="87"/>
  <c r="CK137" i="87"/>
  <c r="CH137" i="87"/>
  <c r="CN137" i="87"/>
  <c r="CQ203" i="87"/>
  <c r="CO203" i="87"/>
  <c r="CG203" i="87"/>
  <c r="CF203" i="87" s="1"/>
  <c r="CO198" i="87"/>
  <c r="CQ198" i="87"/>
  <c r="CG198" i="87"/>
  <c r="CF198" i="87" s="1"/>
  <c r="CP160" i="87"/>
  <c r="CH160" i="87"/>
  <c r="CQ160" i="87"/>
  <c r="CG160" i="87"/>
  <c r="CF160" i="87" s="1"/>
  <c r="CO160" i="87"/>
  <c r="CO151" i="87"/>
  <c r="CP151" i="87"/>
  <c r="CG151" i="87"/>
  <c r="CF151" i="87" s="1"/>
  <c r="CH151" i="87"/>
  <c r="CQ151" i="87" s="1"/>
  <c r="CP156" i="87"/>
  <c r="CH156" i="87"/>
  <c r="CQ156" i="87" s="1"/>
  <c r="CG156" i="87"/>
  <c r="CF156" i="87" s="1"/>
  <c r="CO156" i="87"/>
  <c r="CH161" i="87"/>
  <c r="CG161" i="87"/>
  <c r="CF161" i="87" s="1"/>
  <c r="CO161" i="87"/>
  <c r="CP161" i="87"/>
  <c r="CQ161" i="87"/>
  <c r="CK202" i="87"/>
  <c r="CR202" i="87"/>
  <c r="CN202" i="87"/>
  <c r="CH202" i="87"/>
  <c r="CK192" i="87"/>
  <c r="CH192" i="87"/>
  <c r="CN192" i="87"/>
  <c r="CR192" i="87"/>
  <c r="CK193" i="87"/>
  <c r="CR193" i="87"/>
  <c r="CH193" i="87"/>
  <c r="CN193" i="87"/>
  <c r="CQ140" i="87"/>
  <c r="CO140" i="87"/>
  <c r="CG140" i="87"/>
  <c r="CO141" i="87"/>
  <c r="CQ141" i="87"/>
  <c r="CG141" i="87"/>
  <c r="CQ135" i="87"/>
  <c r="CO135" i="87"/>
  <c r="CG135" i="87"/>
  <c r="CO134" i="87"/>
  <c r="CQ134" i="87"/>
  <c r="CG134" i="87"/>
  <c r="CH212" i="87"/>
  <c r="CQ212" i="87" s="1"/>
  <c r="CG212" i="87"/>
  <c r="CF212" i="87" s="1"/>
  <c r="CP212" i="87"/>
  <c r="CO212" i="87"/>
  <c r="CP214" i="87"/>
  <c r="CH214" i="87"/>
  <c r="CQ214" i="87" s="1"/>
  <c r="CG214" i="87"/>
  <c r="CF214" i="87" s="1"/>
  <c r="CO214" i="87"/>
  <c r="CQ220" i="87"/>
  <c r="CH220" i="87"/>
  <c r="CP220" i="87"/>
  <c r="CO220" i="87"/>
  <c r="CG220" i="87"/>
  <c r="CF220" i="87" s="1"/>
  <c r="CK143" i="87"/>
  <c r="CR143" i="87"/>
  <c r="CN143" i="87"/>
  <c r="CH143" i="87"/>
  <c r="CR139" i="87"/>
  <c r="CK139" i="87"/>
  <c r="CN139" i="87"/>
  <c r="CH139" i="87"/>
  <c r="CN138" i="87"/>
  <c r="CH138" i="87"/>
  <c r="CK138" i="87"/>
  <c r="CR138" i="87"/>
  <c r="CN140" i="87"/>
  <c r="CR140" i="87"/>
  <c r="CH140" i="87"/>
  <c r="CK140" i="87"/>
  <c r="CQ197" i="87"/>
  <c r="CG197" i="87"/>
  <c r="CO197" i="87"/>
  <c r="CO199" i="87"/>
  <c r="CG199" i="87"/>
  <c r="CQ199" i="87"/>
  <c r="CG207" i="87"/>
  <c r="CF207" i="87" s="1"/>
  <c r="CO207" i="87"/>
  <c r="CP207" i="87"/>
  <c r="CG193" i="87"/>
  <c r="CF193" i="87" s="1"/>
  <c r="CO193" i="87"/>
  <c r="CQ193" i="87"/>
  <c r="CO162" i="87"/>
  <c r="CG162" i="87"/>
  <c r="CF162" i="87" s="1"/>
  <c r="CP162" i="87"/>
  <c r="CH162" i="87"/>
  <c r="CQ162" i="87"/>
  <c r="CG143" i="87"/>
  <c r="CQ143" i="87"/>
  <c r="CO143" i="87"/>
  <c r="CO146" i="87"/>
  <c r="CQ146" i="87"/>
  <c r="CG146" i="87"/>
  <c r="CF146" i="87" s="1"/>
  <c r="CG219" i="87"/>
  <c r="CF219" i="87" s="1"/>
  <c r="CO219" i="87"/>
  <c r="CH219" i="87"/>
  <c r="CQ219" i="87"/>
  <c r="CP219" i="87"/>
  <c r="CN141" i="87"/>
  <c r="CK141" i="87"/>
  <c r="CR141" i="87"/>
  <c r="CH141" i="87"/>
  <c r="CH147" i="87"/>
  <c r="CQ147" i="87" s="1"/>
  <c r="CR147" i="87"/>
  <c r="CK147" i="87"/>
  <c r="CN147" i="87"/>
  <c r="CO201" i="87"/>
  <c r="CQ201" i="87"/>
  <c r="CG201" i="87"/>
  <c r="CF201" i="87" s="1"/>
  <c r="CO194" i="87"/>
  <c r="CQ194" i="87"/>
  <c r="CG194" i="87"/>
  <c r="CP155" i="87"/>
  <c r="CG155" i="87"/>
  <c r="CF155" i="87" s="1"/>
  <c r="CO155" i="87"/>
  <c r="CH155" i="87"/>
  <c r="CQ155" i="87" s="1"/>
  <c r="CP149" i="87"/>
  <c r="CH149" i="87"/>
  <c r="CQ149" i="87" s="1"/>
  <c r="CG149" i="87"/>
  <c r="CF149" i="87" s="1"/>
  <c r="CO149" i="87"/>
  <c r="CQ159" i="87"/>
  <c r="CP159" i="87"/>
  <c r="CO159" i="87"/>
  <c r="CG159" i="87"/>
  <c r="CF159" i="87" s="1"/>
  <c r="CH159" i="87"/>
  <c r="CO152" i="87"/>
  <c r="CP152" i="87"/>
  <c r="CG152" i="87"/>
  <c r="CF152" i="87" s="1"/>
  <c r="CH152" i="87"/>
  <c r="CQ152" i="87" s="1"/>
  <c r="CK194" i="87"/>
  <c r="CR194" i="87"/>
  <c r="CN194" i="87"/>
  <c r="CH194" i="87"/>
  <c r="CK203" i="87"/>
  <c r="CR203" i="87"/>
  <c r="CN203" i="87"/>
  <c r="CH203" i="87"/>
  <c r="CK201" i="87"/>
  <c r="CH201" i="87"/>
  <c r="CN201" i="87"/>
  <c r="CR201" i="87"/>
  <c r="CN196" i="87"/>
  <c r="CR196" i="87"/>
  <c r="CK196" i="87"/>
  <c r="CH196" i="87"/>
  <c r="CH195" i="87"/>
  <c r="CR195" i="87"/>
  <c r="CK195" i="87"/>
  <c r="CN195" i="87"/>
  <c r="CQ144" i="87"/>
  <c r="CO144" i="87"/>
  <c r="CG144" i="87"/>
  <c r="CG136" i="87"/>
  <c r="CF136" i="87" s="1"/>
  <c r="CQ136" i="87"/>
  <c r="CO136" i="87"/>
  <c r="CO142" i="87"/>
  <c r="CQ142" i="87"/>
  <c r="CG142" i="87"/>
  <c r="CF142" i="87" s="1"/>
  <c r="CO138" i="87"/>
  <c r="CQ138" i="87"/>
  <c r="CG138" i="87"/>
  <c r="CF138" i="87" s="1"/>
  <c r="CO221" i="87"/>
  <c r="CH221" i="87"/>
  <c r="CG221" i="87"/>
  <c r="CF221" i="87" s="1"/>
  <c r="CQ221" i="87"/>
  <c r="CP221" i="87"/>
  <c r="CP213" i="87"/>
  <c r="CO213" i="87"/>
  <c r="CG213" i="87"/>
  <c r="CF213" i="87" s="1"/>
  <c r="CH213" i="87"/>
  <c r="CQ213" i="87" s="1"/>
  <c r="CH208" i="87"/>
  <c r="CQ208" i="87" s="1"/>
  <c r="CP208" i="87"/>
  <c r="CO208" i="87"/>
  <c r="CG208" i="87"/>
  <c r="CF208" i="87" s="1"/>
  <c r="CG218" i="87"/>
  <c r="CF218" i="87" s="1"/>
  <c r="CO218" i="87"/>
  <c r="CP218" i="87"/>
  <c r="CH218" i="87"/>
  <c r="CQ218" i="87" s="1"/>
  <c r="CR133" i="87"/>
  <c r="CK133" i="87"/>
  <c r="CH133" i="87"/>
  <c r="CN133" i="87"/>
  <c r="CN135" i="87"/>
  <c r="CH135" i="87"/>
  <c r="CK135" i="87"/>
  <c r="CR135" i="87"/>
  <c r="CH134" i="87"/>
  <c r="CK134" i="87"/>
  <c r="CR134" i="87"/>
  <c r="CN134" i="87"/>
  <c r="CG202" i="87"/>
  <c r="CO202" i="87"/>
  <c r="CQ202" i="87"/>
  <c r="CQ206" i="87"/>
  <c r="CG206" i="87"/>
  <c r="CF206" i="87" s="1"/>
  <c r="CO206" i="87"/>
  <c r="CG205" i="87"/>
  <c r="CO205" i="87"/>
  <c r="CQ205" i="87"/>
  <c r="CQ204" i="87"/>
  <c r="CO204" i="87"/>
  <c r="CG204" i="87"/>
  <c r="CP153" i="87"/>
  <c r="CG153" i="87"/>
  <c r="CF153" i="87" s="1"/>
  <c r="CO153" i="87"/>
  <c r="CH153" i="87"/>
  <c r="CQ153" i="87" s="1"/>
  <c r="CR207" i="87"/>
  <c r="CK207" i="87"/>
  <c r="CN207" i="87"/>
  <c r="CH207" i="87"/>
  <c r="CQ207" i="87" s="1"/>
  <c r="CH206" i="87"/>
  <c r="CR206" i="87"/>
  <c r="CK206" i="87"/>
  <c r="CN206" i="87"/>
  <c r="CG217" i="87"/>
  <c r="CF217" i="87" s="1"/>
  <c r="CP217" i="87"/>
  <c r="CO217" i="87"/>
  <c r="CH217" i="87"/>
  <c r="CQ217" i="87" s="1"/>
  <c r="CG211" i="87"/>
  <c r="CF211" i="87" s="1"/>
  <c r="CH211" i="87"/>
  <c r="CQ211" i="87" s="1"/>
  <c r="CP211" i="87"/>
  <c r="CO211" i="87"/>
  <c r="CH144" i="87"/>
  <c r="CN144" i="87"/>
  <c r="CR144" i="87"/>
  <c r="CK144" i="87"/>
  <c r="CO196" i="87"/>
  <c r="CG196" i="87"/>
  <c r="CF196" i="87" s="1"/>
  <c r="CQ196" i="87"/>
  <c r="CG154" i="87"/>
  <c r="CF154" i="87" s="1"/>
  <c r="CH154" i="87"/>
  <c r="CQ154" i="87" s="1"/>
  <c r="CO154" i="87"/>
  <c r="CP154" i="87"/>
  <c r="CP158" i="87"/>
  <c r="CH158" i="87"/>
  <c r="CQ158" i="87" s="1"/>
  <c r="CG158" i="87"/>
  <c r="CF158" i="87" s="1"/>
  <c r="CO158" i="87"/>
  <c r="CP157" i="87"/>
  <c r="CO157" i="87"/>
  <c r="CG157" i="87"/>
  <c r="CF157" i="87" s="1"/>
  <c r="CH157" i="87"/>
  <c r="CQ157" i="87" s="1"/>
  <c r="CO148" i="87"/>
  <c r="CG148" i="87"/>
  <c r="CF148" i="87" s="1"/>
  <c r="CP148" i="87"/>
  <c r="CH148" i="87"/>
  <c r="CQ148" i="87" s="1"/>
  <c r="CK197" i="87"/>
  <c r="CR197" i="87"/>
  <c r="CH197" i="87"/>
  <c r="CN197" i="87"/>
  <c r="CR205" i="87"/>
  <c r="CK205" i="87"/>
  <c r="CH205" i="87"/>
  <c r="CN205" i="87"/>
  <c r="CK198" i="87"/>
  <c r="CN198" i="87"/>
  <c r="CH198" i="87"/>
  <c r="CR198" i="87"/>
  <c r="CN200" i="87"/>
  <c r="CK200" i="87"/>
  <c r="CR200" i="87"/>
  <c r="CH200" i="87"/>
  <c r="CO137" i="87"/>
  <c r="CQ137" i="87"/>
  <c r="CG137" i="87"/>
  <c r="CO139" i="87"/>
  <c r="CG139" i="87"/>
  <c r="CQ139" i="87"/>
  <c r="CO132" i="87"/>
  <c r="CG132" i="87"/>
  <c r="CQ132" i="87"/>
  <c r="CQ145" i="87"/>
  <c r="CG145" i="87"/>
  <c r="CO145" i="87"/>
  <c r="CO133" i="87"/>
  <c r="CQ133" i="87"/>
  <c r="CG133" i="87"/>
  <c r="CQ222" i="87"/>
  <c r="CP222" i="87"/>
  <c r="CO222" i="87"/>
  <c r="CG222" i="87"/>
  <c r="CF222" i="87" s="1"/>
  <c r="CH222" i="87"/>
  <c r="CH209" i="87"/>
  <c r="CQ209" i="87" s="1"/>
  <c r="CO209" i="87"/>
  <c r="CG209" i="87"/>
  <c r="CF209" i="87" s="1"/>
  <c r="CP209" i="87"/>
  <c r="CP210" i="87"/>
  <c r="CG210" i="87"/>
  <c r="CF210" i="87" s="1"/>
  <c r="CH210" i="87"/>
  <c r="CQ210" i="87" s="1"/>
  <c r="CO210" i="87"/>
  <c r="CG215" i="87"/>
  <c r="CF215" i="87" s="1"/>
  <c r="CO215" i="87"/>
  <c r="CH215" i="87"/>
  <c r="CQ215" i="87" s="1"/>
  <c r="CP215" i="87"/>
  <c r="CR136" i="87"/>
  <c r="CK136" i="87"/>
  <c r="CH136" i="87"/>
  <c r="CN136" i="87"/>
  <c r="CK142" i="87"/>
  <c r="CR142" i="87"/>
  <c r="CN142" i="87"/>
  <c r="CH142" i="87"/>
  <c r="CH132" i="87"/>
  <c r="CN132" i="87"/>
  <c r="CR132" i="87"/>
  <c r="CK132" i="87"/>
  <c r="CK146" i="87"/>
  <c r="CR146" i="87"/>
  <c r="CN146" i="87"/>
  <c r="CH146" i="87"/>
  <c r="CR145" i="87"/>
  <c r="CN145" i="87"/>
  <c r="CH145" i="87"/>
  <c r="CK145" i="87"/>
  <c r="CQ195" i="87"/>
  <c r="CO195" i="87"/>
  <c r="CG195" i="87"/>
  <c r="CG192" i="87"/>
  <c r="CF192" i="87" s="1"/>
  <c r="CQ192" i="87"/>
  <c r="CO192" i="87"/>
  <c r="CQ200" i="87"/>
  <c r="CO200" i="87"/>
  <c r="CG200" i="87"/>
  <c r="CF200" i="87" s="1"/>
  <c r="CL143" i="89"/>
  <c r="CG143" i="89" s="1"/>
  <c r="CF143" i="89" s="1"/>
  <c r="CL142" i="89"/>
  <c r="CH142" i="89" s="1"/>
  <c r="CU142" i="89" s="1"/>
  <c r="CE187" i="89"/>
  <c r="CP193" i="89"/>
  <c r="CP140" i="89"/>
  <c r="CP201" i="89"/>
  <c r="CL140" i="89"/>
  <c r="CG140" i="89" s="1"/>
  <c r="CF140" i="89" s="1"/>
  <c r="CP145" i="89"/>
  <c r="CP192" i="89"/>
  <c r="CL139" i="89"/>
  <c r="CU139" i="89" s="1"/>
  <c r="CL135" i="89"/>
  <c r="CH135" i="89" s="1"/>
  <c r="CP206" i="89"/>
  <c r="CN203" i="82"/>
  <c r="CV203" i="82" s="1"/>
  <c r="CN199" i="82"/>
  <c r="CR199" i="82" s="1"/>
  <c r="CN207" i="82"/>
  <c r="CQ207" i="82" s="1"/>
  <c r="CN195" i="82"/>
  <c r="CV195" i="82" s="1"/>
  <c r="CN202" i="82"/>
  <c r="CQ202" i="82" s="1"/>
  <c r="CN198" i="82"/>
  <c r="CQ198" i="82" s="1"/>
  <c r="CN194" i="82"/>
  <c r="CV194" i="82" s="1"/>
  <c r="CN206" i="82"/>
  <c r="CQ206" i="82" s="1"/>
  <c r="CN201" i="82"/>
  <c r="CQ201" i="82" s="1"/>
  <c r="CN197" i="82"/>
  <c r="CV197" i="82" s="1"/>
  <c r="CN193" i="82"/>
  <c r="CQ193" i="82" s="1"/>
  <c r="CE187" i="82"/>
  <c r="CN204" i="82"/>
  <c r="CQ204" i="82" s="1"/>
  <c r="CN200" i="82"/>
  <c r="CR200" i="82" s="1"/>
  <c r="CN196" i="82"/>
  <c r="CQ196" i="82" s="1"/>
  <c r="CN192" i="82"/>
  <c r="CV192" i="82" s="1"/>
  <c r="CN178" i="82"/>
  <c r="CS204" i="82" s="1"/>
  <c r="CW204" i="82" s="1"/>
  <c r="CE72" i="82"/>
  <c r="CE65" i="82"/>
  <c r="CJ94" i="82" s="1"/>
  <c r="CE13" i="82"/>
  <c r="CE6" i="82"/>
  <c r="CE8" i="82" s="1"/>
  <c r="CI223" i="85"/>
  <c r="CL223" i="85"/>
  <c r="CL163" i="85"/>
  <c r="CI163" i="85"/>
  <c r="CO79" i="87"/>
  <c r="CQ79" i="87"/>
  <c r="CH79" i="87"/>
  <c r="CG79" i="87"/>
  <c r="CF79" i="87" s="1"/>
  <c r="CO90" i="87"/>
  <c r="CG90" i="87"/>
  <c r="CF90" i="87" s="1"/>
  <c r="CP90" i="87"/>
  <c r="CH90" i="87"/>
  <c r="CQ90" i="87" s="1"/>
  <c r="CO94" i="87"/>
  <c r="CG94" i="87"/>
  <c r="CF94" i="87" s="1"/>
  <c r="CP94" i="87"/>
  <c r="CH94" i="87"/>
  <c r="CQ94" i="87" s="1"/>
  <c r="CQ77" i="87"/>
  <c r="CO77" i="87"/>
  <c r="CG77" i="87"/>
  <c r="CF77" i="87" s="1"/>
  <c r="CH77" i="87"/>
  <c r="CQ82" i="87"/>
  <c r="CO82" i="87"/>
  <c r="CG82" i="87"/>
  <c r="CF82" i="87" s="1"/>
  <c r="CH82" i="87"/>
  <c r="CQ104" i="87"/>
  <c r="CO104" i="87"/>
  <c r="CG104" i="87"/>
  <c r="CF104" i="87" s="1"/>
  <c r="CP104" i="87"/>
  <c r="CH104" i="87"/>
  <c r="CQ86" i="87"/>
  <c r="CG86" i="87"/>
  <c r="CF86" i="87" s="1"/>
  <c r="CO86" i="87"/>
  <c r="CH86" i="87"/>
  <c r="CO96" i="87"/>
  <c r="CP96" i="87"/>
  <c r="CG96" i="87"/>
  <c r="CF96" i="87" s="1"/>
  <c r="CH96" i="87"/>
  <c r="CQ96" i="87" s="1"/>
  <c r="CO80" i="87"/>
  <c r="CQ80" i="87"/>
  <c r="CG80" i="87"/>
  <c r="CF80" i="87" s="1"/>
  <c r="CH80" i="87"/>
  <c r="CQ101" i="87"/>
  <c r="CO101" i="87"/>
  <c r="CH101" i="87"/>
  <c r="CP101" i="87"/>
  <c r="CG101" i="87"/>
  <c r="CF101" i="87" s="1"/>
  <c r="CO102" i="87"/>
  <c r="CQ102" i="87"/>
  <c r="CG102" i="87"/>
  <c r="CF102" i="87" s="1"/>
  <c r="CP102" i="87"/>
  <c r="CH102" i="87"/>
  <c r="CQ100" i="87"/>
  <c r="CG100" i="87"/>
  <c r="CF100" i="87" s="1"/>
  <c r="CO100" i="87"/>
  <c r="CP100" i="87"/>
  <c r="CH100" i="87"/>
  <c r="CO103" i="87"/>
  <c r="CQ103" i="87"/>
  <c r="CP103" i="87"/>
  <c r="CG103" i="87"/>
  <c r="CF103" i="87" s="1"/>
  <c r="CH103" i="87"/>
  <c r="CQ78" i="87"/>
  <c r="CO78" i="87"/>
  <c r="CH78" i="87"/>
  <c r="CG78" i="87"/>
  <c r="CF78" i="87" s="1"/>
  <c r="CQ85" i="87"/>
  <c r="CO85" i="87"/>
  <c r="CG85" i="87"/>
  <c r="CF85" i="87" s="1"/>
  <c r="CH85" i="87"/>
  <c r="CO92" i="87"/>
  <c r="CP92" i="87"/>
  <c r="CG92" i="87"/>
  <c r="CF92" i="87" s="1"/>
  <c r="CH92" i="87"/>
  <c r="CQ92" i="87" s="1"/>
  <c r="CO87" i="87"/>
  <c r="CQ87" i="87"/>
  <c r="CG87" i="87"/>
  <c r="CF87" i="87" s="1"/>
  <c r="CH87" i="87"/>
  <c r="CO83" i="87"/>
  <c r="CQ83" i="87"/>
  <c r="CG83" i="87"/>
  <c r="CF83" i="87" s="1"/>
  <c r="CH83" i="87"/>
  <c r="CO93" i="87"/>
  <c r="CP93" i="87"/>
  <c r="CH93" i="87"/>
  <c r="CQ93" i="87" s="1"/>
  <c r="CG93" i="87"/>
  <c r="CF93" i="87" s="1"/>
  <c r="CO84" i="87"/>
  <c r="CQ84" i="87"/>
  <c r="CG84" i="87"/>
  <c r="CF84" i="87" s="1"/>
  <c r="CH84" i="87"/>
  <c r="CQ105" i="87"/>
  <c r="CO105" i="87"/>
  <c r="CP105" i="87"/>
  <c r="CH105" i="87"/>
  <c r="CG105" i="87"/>
  <c r="CF105" i="87" s="1"/>
  <c r="CO107" i="87"/>
  <c r="CQ107" i="87"/>
  <c r="CP107" i="87"/>
  <c r="CG107" i="87"/>
  <c r="CF107" i="87" s="1"/>
  <c r="CH107" i="87"/>
  <c r="CQ89" i="87"/>
  <c r="CG89" i="87"/>
  <c r="CF89" i="87" s="1"/>
  <c r="CO89" i="87"/>
  <c r="CH89" i="87"/>
  <c r="CO106" i="87"/>
  <c r="CQ106" i="87"/>
  <c r="CP106" i="87"/>
  <c r="CG106" i="87"/>
  <c r="CF106" i="87" s="1"/>
  <c r="CH106" i="87"/>
  <c r="CO98" i="87"/>
  <c r="CQ98" i="87"/>
  <c r="CG98" i="87"/>
  <c r="CF98" i="87" s="1"/>
  <c r="CH98" i="87"/>
  <c r="CP98" i="87"/>
  <c r="CO95" i="87"/>
  <c r="CP95" i="87"/>
  <c r="CG95" i="87"/>
  <c r="CF95" i="87" s="1"/>
  <c r="CH95" i="87"/>
  <c r="CQ95" i="87" s="1"/>
  <c r="CO91" i="87"/>
  <c r="CP91" i="87"/>
  <c r="CG91" i="87"/>
  <c r="CF91" i="87" s="1"/>
  <c r="CH91" i="87"/>
  <c r="CQ91" i="87" s="1"/>
  <c r="CO99" i="87"/>
  <c r="CP99" i="87"/>
  <c r="CQ99" i="87"/>
  <c r="CH99" i="87"/>
  <c r="CG99" i="87"/>
  <c r="CF99" i="87" s="1"/>
  <c r="CG97" i="87"/>
  <c r="CF97" i="87" s="1"/>
  <c r="CO97" i="87"/>
  <c r="CP97" i="87"/>
  <c r="CH97" i="87"/>
  <c r="CQ97" i="87" s="1"/>
  <c r="CQ81" i="87"/>
  <c r="CO81" i="87"/>
  <c r="CG81" i="87"/>
  <c r="CF81" i="87" s="1"/>
  <c r="CH81" i="87"/>
  <c r="CO88" i="87"/>
  <c r="CQ88" i="87"/>
  <c r="CG88" i="87"/>
  <c r="CF88" i="87" s="1"/>
  <c r="CH88" i="87"/>
  <c r="CO35" i="87"/>
  <c r="CP35" i="87"/>
  <c r="CG35" i="87"/>
  <c r="CF35" i="87" s="1"/>
  <c r="CH35" i="87"/>
  <c r="CQ35" i="87" s="1"/>
  <c r="CQ26" i="87"/>
  <c r="CO26" i="87"/>
  <c r="CG26" i="87"/>
  <c r="CF26" i="87" s="1"/>
  <c r="CH26" i="87"/>
  <c r="CQ21" i="87"/>
  <c r="CO21" i="87"/>
  <c r="CH21" i="87"/>
  <c r="CG21" i="87"/>
  <c r="CF21" i="87" s="1"/>
  <c r="CQ18" i="87"/>
  <c r="CO18" i="87"/>
  <c r="CH18" i="87"/>
  <c r="CG18" i="87"/>
  <c r="CF18" i="87" s="1"/>
  <c r="CO44" i="87"/>
  <c r="CQ44" i="87"/>
  <c r="CG44" i="87"/>
  <c r="CF44" i="87" s="1"/>
  <c r="CH44" i="87"/>
  <c r="CP44" i="87"/>
  <c r="CQ39" i="87"/>
  <c r="CO39" i="87"/>
  <c r="CG39" i="87"/>
  <c r="CF39" i="87" s="1"/>
  <c r="CP39" i="87"/>
  <c r="CH39" i="87"/>
  <c r="CO36" i="87"/>
  <c r="CP36" i="87"/>
  <c r="CG36" i="87"/>
  <c r="CF36" i="87" s="1"/>
  <c r="CH36" i="87"/>
  <c r="CQ36" i="87" s="1"/>
  <c r="CO45" i="87"/>
  <c r="CP45" i="87"/>
  <c r="CQ45" i="87"/>
  <c r="CH45" i="87"/>
  <c r="CG45" i="87"/>
  <c r="CF45" i="87" s="1"/>
  <c r="CO42" i="87"/>
  <c r="CG42" i="87"/>
  <c r="CF42" i="87" s="1"/>
  <c r="CP42" i="87"/>
  <c r="CQ42" i="87"/>
  <c r="CH42" i="87"/>
  <c r="CO24" i="87"/>
  <c r="CQ24" i="87"/>
  <c r="CH24" i="87"/>
  <c r="CG24" i="87"/>
  <c r="CF24" i="87" s="1"/>
  <c r="CQ40" i="87"/>
  <c r="CO40" i="87"/>
  <c r="CH40" i="87"/>
  <c r="CG40" i="87"/>
  <c r="CF40" i="87" s="1"/>
  <c r="CP40" i="87"/>
  <c r="CO48" i="87"/>
  <c r="CQ48" i="87"/>
  <c r="CH48" i="87"/>
  <c r="CP48" i="87"/>
  <c r="CG48" i="87"/>
  <c r="CF48" i="87" s="1"/>
  <c r="CO33" i="87"/>
  <c r="CP33" i="87"/>
  <c r="CH33" i="87"/>
  <c r="CQ33" i="87" s="1"/>
  <c r="CG33" i="87"/>
  <c r="CF33" i="87" s="1"/>
  <c r="CO20" i="87"/>
  <c r="CQ20" i="87"/>
  <c r="CG20" i="87"/>
  <c r="CF20" i="87" s="1"/>
  <c r="CH20" i="87"/>
  <c r="CQ43" i="87"/>
  <c r="CO43" i="87"/>
  <c r="CG43" i="87"/>
  <c r="CF43" i="87" s="1"/>
  <c r="CH43" i="87"/>
  <c r="CP43" i="87"/>
  <c r="CO34" i="87"/>
  <c r="CP34" i="87"/>
  <c r="CH34" i="87"/>
  <c r="CQ34" i="87" s="1"/>
  <c r="CG34" i="87"/>
  <c r="CF34" i="87" s="1"/>
  <c r="CO38" i="87"/>
  <c r="CP38" i="87"/>
  <c r="CH38" i="87"/>
  <c r="CQ38" i="87" s="1"/>
  <c r="CG38" i="87"/>
  <c r="CF38" i="87" s="1"/>
  <c r="CO41" i="87"/>
  <c r="CP41" i="87"/>
  <c r="CH41" i="87"/>
  <c r="CQ41" i="87"/>
  <c r="CG41" i="87"/>
  <c r="CF41" i="87" s="1"/>
  <c r="CQ30" i="87"/>
  <c r="CO30" i="87"/>
  <c r="CH30" i="87"/>
  <c r="CG30" i="87"/>
  <c r="CF30" i="87" s="1"/>
  <c r="CO31" i="87"/>
  <c r="CH31" i="87"/>
  <c r="CQ31" i="87" s="1"/>
  <c r="CG31" i="87"/>
  <c r="CF31" i="87" s="1"/>
  <c r="CP31" i="87"/>
  <c r="CQ29" i="87"/>
  <c r="CO29" i="87"/>
  <c r="CH29" i="87"/>
  <c r="CG29" i="87"/>
  <c r="CF29" i="87" s="1"/>
  <c r="CO32" i="87"/>
  <c r="CP32" i="87"/>
  <c r="CG32" i="87"/>
  <c r="CF32" i="87" s="1"/>
  <c r="CH32" i="87"/>
  <c r="CQ32" i="87" s="1"/>
  <c r="CO37" i="87"/>
  <c r="CP37" i="87"/>
  <c r="CH37" i="87"/>
  <c r="CQ37" i="87" s="1"/>
  <c r="CG37" i="87"/>
  <c r="CF37" i="87" s="1"/>
  <c r="CQ47" i="87"/>
  <c r="CO47" i="87"/>
  <c r="CG47" i="87"/>
  <c r="CF47" i="87" s="1"/>
  <c r="CH47" i="87"/>
  <c r="CP47" i="87"/>
  <c r="CO19" i="87"/>
  <c r="CQ19" i="87"/>
  <c r="CG19" i="87"/>
  <c r="CF19" i="87" s="1"/>
  <c r="CH19" i="87"/>
  <c r="CQ22" i="87"/>
  <c r="CO22" i="87"/>
  <c r="CH22" i="87"/>
  <c r="CG22" i="87"/>
  <c r="CF22" i="87" s="1"/>
  <c r="CO27" i="87"/>
  <c r="CQ27" i="87"/>
  <c r="CH27" i="87"/>
  <c r="CG27" i="87"/>
  <c r="CF27" i="87" s="1"/>
  <c r="CQ46" i="87"/>
  <c r="CO46" i="87"/>
  <c r="CP46" i="87"/>
  <c r="CH46" i="87"/>
  <c r="CG46" i="87"/>
  <c r="CF46" i="87" s="1"/>
  <c r="CO23" i="87"/>
  <c r="CQ23" i="87"/>
  <c r="CG23" i="87"/>
  <c r="CF23" i="87" s="1"/>
  <c r="CH23" i="87"/>
  <c r="CQ25" i="87"/>
  <c r="CO25" i="87"/>
  <c r="CG25" i="87"/>
  <c r="CF25" i="87" s="1"/>
  <c r="CH25" i="87"/>
  <c r="CO28" i="87"/>
  <c r="CQ28" i="87"/>
  <c r="CG28" i="87"/>
  <c r="CF28" i="87" s="1"/>
  <c r="CH28" i="87"/>
  <c r="CI203" i="89"/>
  <c r="CQ203" i="89"/>
  <c r="CM203" i="89"/>
  <c r="CW203" i="89"/>
  <c r="CR202" i="89"/>
  <c r="CV202" i="89"/>
  <c r="CR199" i="89"/>
  <c r="CV199" i="89"/>
  <c r="CR208" i="89"/>
  <c r="CI208" i="89"/>
  <c r="CV208" i="89" s="1"/>
  <c r="CR214" i="89"/>
  <c r="CI214" i="89"/>
  <c r="CV214" i="89" s="1"/>
  <c r="CR220" i="89"/>
  <c r="CV220" i="89"/>
  <c r="CI220" i="89"/>
  <c r="CR213" i="89"/>
  <c r="CI213" i="89"/>
  <c r="CV213" i="89" s="1"/>
  <c r="CL196" i="89"/>
  <c r="CH196" i="89" s="1"/>
  <c r="CL198" i="89"/>
  <c r="CH198" i="89" s="1"/>
  <c r="CL207" i="89"/>
  <c r="CH207" i="89" s="1"/>
  <c r="CL199" i="89"/>
  <c r="CI194" i="89"/>
  <c r="CQ194" i="89"/>
  <c r="CW194" i="89"/>
  <c r="CM194" i="89"/>
  <c r="CI195" i="89"/>
  <c r="CQ195" i="89"/>
  <c r="CW195" i="89"/>
  <c r="CM195" i="89"/>
  <c r="CR198" i="89"/>
  <c r="CV198" i="89"/>
  <c r="CL145" i="89"/>
  <c r="CG145" i="89" s="1"/>
  <c r="CF145" i="89" s="1"/>
  <c r="CL137" i="89"/>
  <c r="CG137" i="89" s="1"/>
  <c r="CF137" i="89" s="1"/>
  <c r="CL133" i="89"/>
  <c r="CG133" i="89" s="1"/>
  <c r="CF133" i="89" s="1"/>
  <c r="CP142" i="89"/>
  <c r="CP138" i="89"/>
  <c r="CE177" i="89"/>
  <c r="CL218" i="89"/>
  <c r="CH218" i="89" s="1"/>
  <c r="CL211" i="89"/>
  <c r="CH211" i="89" s="1"/>
  <c r="CL215" i="89"/>
  <c r="CH215" i="89" s="1"/>
  <c r="CL219" i="89"/>
  <c r="CH219" i="89" s="1"/>
  <c r="CL213" i="89"/>
  <c r="CL209" i="89"/>
  <c r="CH209" i="89" s="1"/>
  <c r="CL217" i="89"/>
  <c r="CH217" i="89" s="1"/>
  <c r="CL208" i="89"/>
  <c r="CH208" i="89" s="1"/>
  <c r="CL216" i="89"/>
  <c r="CH216" i="89" s="1"/>
  <c r="CL221" i="89"/>
  <c r="CH221" i="89" s="1"/>
  <c r="CL212" i="89"/>
  <c r="CH212" i="89" s="1"/>
  <c r="CL222" i="89"/>
  <c r="CH222" i="89" s="1"/>
  <c r="CL214" i="89"/>
  <c r="CL210" i="89"/>
  <c r="CH210" i="89" s="1"/>
  <c r="CL220" i="89"/>
  <c r="CH220" i="89" s="1"/>
  <c r="CI206" i="89"/>
  <c r="CQ206" i="89"/>
  <c r="CM206" i="89"/>
  <c r="CW206" i="89"/>
  <c r="CI198" i="89"/>
  <c r="CQ198" i="89"/>
  <c r="CM198" i="89"/>
  <c r="CW198" i="89"/>
  <c r="CQ201" i="89"/>
  <c r="CI201" i="89"/>
  <c r="CM201" i="89"/>
  <c r="CW201" i="89"/>
  <c r="CQ193" i="89"/>
  <c r="CI193" i="89"/>
  <c r="CM193" i="89"/>
  <c r="CW193" i="89"/>
  <c r="CR194" i="89"/>
  <c r="CV194" i="89"/>
  <c r="CR192" i="89"/>
  <c r="CV192" i="89"/>
  <c r="CR205" i="89"/>
  <c r="CV205" i="89"/>
  <c r="CR197" i="89"/>
  <c r="CV197" i="89"/>
  <c r="CR212" i="89"/>
  <c r="CI212" i="89"/>
  <c r="CV212" i="89" s="1"/>
  <c r="CR218" i="89"/>
  <c r="CI218" i="89"/>
  <c r="CV218" i="89" s="1"/>
  <c r="CV219" i="89"/>
  <c r="CI219" i="89"/>
  <c r="CR219" i="89"/>
  <c r="CI211" i="89"/>
  <c r="CV211" i="89" s="1"/>
  <c r="CR211" i="89"/>
  <c r="CL200" i="89"/>
  <c r="CH200" i="89" s="1"/>
  <c r="CL194" i="89"/>
  <c r="CL205" i="89"/>
  <c r="CH205" i="89" s="1"/>
  <c r="CL197" i="89"/>
  <c r="CP200" i="89"/>
  <c r="CP202" i="89"/>
  <c r="CP207" i="89"/>
  <c r="CP199" i="89"/>
  <c r="CI204" i="89"/>
  <c r="CQ204" i="89"/>
  <c r="CW204" i="89"/>
  <c r="CM204" i="89"/>
  <c r="CR207" i="89"/>
  <c r="CL138" i="89"/>
  <c r="CU138" i="89" s="1"/>
  <c r="CL134" i="89"/>
  <c r="CU134" i="89" s="1"/>
  <c r="CL141" i="89"/>
  <c r="CG141" i="89" s="1"/>
  <c r="CF141" i="89" s="1"/>
  <c r="CP139" i="89"/>
  <c r="CP135" i="89"/>
  <c r="CI192" i="89"/>
  <c r="CQ192" i="89"/>
  <c r="CM192" i="89"/>
  <c r="CW192" i="89"/>
  <c r="CI200" i="89"/>
  <c r="CQ200" i="89"/>
  <c r="CM200" i="89"/>
  <c r="CW200" i="89"/>
  <c r="CQ207" i="89"/>
  <c r="CM207" i="89"/>
  <c r="CI207" i="89"/>
  <c r="CV207" i="89" s="1"/>
  <c r="CW207" i="89"/>
  <c r="CI199" i="89"/>
  <c r="CQ199" i="89"/>
  <c r="CW199" i="89"/>
  <c r="CM199" i="89"/>
  <c r="CR206" i="89"/>
  <c r="CV206" i="89"/>
  <c r="CR204" i="89"/>
  <c r="CV204" i="89"/>
  <c r="CR203" i="89"/>
  <c r="CV203" i="89"/>
  <c r="CR195" i="89"/>
  <c r="CV195" i="89"/>
  <c r="CR216" i="89"/>
  <c r="CI216" i="89"/>
  <c r="CV216" i="89" s="1"/>
  <c r="CR210" i="89"/>
  <c r="CI210" i="89"/>
  <c r="CV210" i="89" s="1"/>
  <c r="CR217" i="89"/>
  <c r="CI217" i="89"/>
  <c r="CV217" i="89" s="1"/>
  <c r="CR209" i="89"/>
  <c r="CI209" i="89"/>
  <c r="CV209" i="89" s="1"/>
  <c r="CL202" i="89"/>
  <c r="CL192" i="89"/>
  <c r="CL203" i="89"/>
  <c r="CH203" i="89" s="1"/>
  <c r="CL195" i="89"/>
  <c r="CP204" i="89"/>
  <c r="CP196" i="89"/>
  <c r="CP205" i="89"/>
  <c r="CP197" i="89"/>
  <c r="CP141" i="89"/>
  <c r="CP147" i="89"/>
  <c r="CS147" i="89" s="1"/>
  <c r="CI196" i="89"/>
  <c r="CQ196" i="89"/>
  <c r="CM196" i="89"/>
  <c r="CW196" i="89"/>
  <c r="CI202" i="89"/>
  <c r="CQ202" i="89"/>
  <c r="CM202" i="89"/>
  <c r="CW202" i="89"/>
  <c r="CQ205" i="89"/>
  <c r="CI205" i="89"/>
  <c r="CM205" i="89"/>
  <c r="CW205" i="89"/>
  <c r="CQ197" i="89"/>
  <c r="CI197" i="89"/>
  <c r="CW197" i="89"/>
  <c r="CM197" i="89"/>
  <c r="CR200" i="89"/>
  <c r="CV200" i="89"/>
  <c r="CR196" i="89"/>
  <c r="CV196" i="89"/>
  <c r="CR201" i="89"/>
  <c r="CV201" i="89"/>
  <c r="CR193" i="89"/>
  <c r="CV193" i="89"/>
  <c r="CR221" i="89"/>
  <c r="CV221" i="89"/>
  <c r="CI221" i="89"/>
  <c r="CV222" i="89"/>
  <c r="CR222" i="89"/>
  <c r="CI222" i="89"/>
  <c r="CI215" i="89"/>
  <c r="CV215" i="89" s="1"/>
  <c r="CR215" i="89"/>
  <c r="CL204" i="89"/>
  <c r="CH204" i="89" s="1"/>
  <c r="CL206" i="89"/>
  <c r="CH206" i="89" s="1"/>
  <c r="CL201" i="89"/>
  <c r="CL193" i="89"/>
  <c r="CP198" i="89"/>
  <c r="CP194" i="89"/>
  <c r="CP203" i="89"/>
  <c r="CE117" i="89"/>
  <c r="CL152" i="89"/>
  <c r="CH152" i="89" s="1"/>
  <c r="CL154" i="89"/>
  <c r="CL156" i="89"/>
  <c r="CL158" i="89"/>
  <c r="CH158" i="89" s="1"/>
  <c r="CL159" i="89"/>
  <c r="CH159" i="89" s="1"/>
  <c r="CL161" i="89"/>
  <c r="CL149" i="89"/>
  <c r="CL151" i="89"/>
  <c r="CH151" i="89" s="1"/>
  <c r="CL157" i="89"/>
  <c r="CH157" i="89" s="1"/>
  <c r="CL160" i="89"/>
  <c r="CL162" i="89"/>
  <c r="CH162" i="89" s="1"/>
  <c r="CL155" i="89"/>
  <c r="CH155" i="89" s="1"/>
  <c r="CL153" i="89"/>
  <c r="CH153" i="89" s="1"/>
  <c r="CL148" i="89"/>
  <c r="CL150" i="89"/>
  <c r="CQ141" i="89"/>
  <c r="CI141" i="89"/>
  <c r="CW141" i="89"/>
  <c r="CM141" i="89"/>
  <c r="CI146" i="89"/>
  <c r="CQ146" i="89"/>
  <c r="CM146" i="89"/>
  <c r="CW146" i="89"/>
  <c r="CI139" i="89"/>
  <c r="CQ139" i="89"/>
  <c r="CM139" i="89"/>
  <c r="CW139" i="89"/>
  <c r="CQ133" i="89"/>
  <c r="CI133" i="89"/>
  <c r="CW133" i="89"/>
  <c r="CM133" i="89"/>
  <c r="CR160" i="89"/>
  <c r="CV160" i="89"/>
  <c r="CH160" i="89"/>
  <c r="CI160" i="89"/>
  <c r="CR151" i="89"/>
  <c r="CI151" i="89"/>
  <c r="CV151" i="89" s="1"/>
  <c r="CR158" i="89"/>
  <c r="CI158" i="89"/>
  <c r="CV158" i="89" s="1"/>
  <c r="CR150" i="89"/>
  <c r="CI150" i="89"/>
  <c r="CV150" i="89" s="1"/>
  <c r="CU147" i="89"/>
  <c r="CT147" i="89"/>
  <c r="CG147" i="89"/>
  <c r="CF147" i="89" s="1"/>
  <c r="CR142" i="89"/>
  <c r="CV142" i="89"/>
  <c r="CR147" i="89"/>
  <c r="CH147" i="89"/>
  <c r="CR136" i="89"/>
  <c r="CV136" i="89"/>
  <c r="CR137" i="89"/>
  <c r="CV137" i="89"/>
  <c r="CI132" i="89"/>
  <c r="CQ132" i="89"/>
  <c r="CW132" i="89"/>
  <c r="CM132" i="89"/>
  <c r="CQ137" i="89"/>
  <c r="CI137" i="89"/>
  <c r="CM137" i="89"/>
  <c r="CW137" i="89"/>
  <c r="CI136" i="89"/>
  <c r="CQ136" i="89"/>
  <c r="CW136" i="89"/>
  <c r="CM136" i="89"/>
  <c r="CI134" i="89"/>
  <c r="CQ134" i="89"/>
  <c r="CM134" i="89"/>
  <c r="CW134" i="89"/>
  <c r="CR157" i="89"/>
  <c r="CI157" i="89"/>
  <c r="CV157" i="89" s="1"/>
  <c r="CR149" i="89"/>
  <c r="CI149" i="89"/>
  <c r="CV149" i="89" s="1"/>
  <c r="CR156" i="89"/>
  <c r="CI156" i="89"/>
  <c r="CV156" i="89" s="1"/>
  <c r="CR148" i="89"/>
  <c r="CI148" i="89"/>
  <c r="CV148" i="89" s="1"/>
  <c r="CG139" i="89"/>
  <c r="CF139" i="89" s="1"/>
  <c r="CR138" i="89"/>
  <c r="CV138" i="89"/>
  <c r="CR146" i="89"/>
  <c r="CV146" i="89"/>
  <c r="CR143" i="89"/>
  <c r="CV143" i="89"/>
  <c r="CR135" i="89"/>
  <c r="CV135" i="89"/>
  <c r="CI143" i="89"/>
  <c r="CQ143" i="89"/>
  <c r="CW143" i="89"/>
  <c r="CM143" i="89"/>
  <c r="CI138" i="89"/>
  <c r="CQ138" i="89"/>
  <c r="CM138" i="89"/>
  <c r="CW138" i="89"/>
  <c r="CI147" i="89"/>
  <c r="CV147" i="89" s="1"/>
  <c r="CQ147" i="89"/>
  <c r="CM147" i="89"/>
  <c r="CW147" i="89"/>
  <c r="CI142" i="89"/>
  <c r="CQ142" i="89"/>
  <c r="CW142" i="89"/>
  <c r="CM142" i="89"/>
  <c r="CR155" i="89"/>
  <c r="CI155" i="89"/>
  <c r="CV155" i="89" s="1"/>
  <c r="CV161" i="89"/>
  <c r="CR161" i="89"/>
  <c r="CI161" i="89"/>
  <c r="CR154" i="89"/>
  <c r="CI154" i="89"/>
  <c r="CV154" i="89" s="1"/>
  <c r="CG142" i="89"/>
  <c r="CF142" i="89" s="1"/>
  <c r="CP144" i="89"/>
  <c r="CP143" i="89"/>
  <c r="CP136" i="89"/>
  <c r="CP133" i="89"/>
  <c r="CR140" i="89"/>
  <c r="CV140" i="89"/>
  <c r="CR145" i="89"/>
  <c r="CV145" i="89"/>
  <c r="CR141" i="89"/>
  <c r="CV141" i="89"/>
  <c r="CR133" i="89"/>
  <c r="CV133" i="89"/>
  <c r="CE127" i="89"/>
  <c r="CI145" i="89"/>
  <c r="CQ145" i="89"/>
  <c r="CM145" i="89"/>
  <c r="CW145" i="89"/>
  <c r="CI140" i="89"/>
  <c r="CQ140" i="89"/>
  <c r="CM140" i="89"/>
  <c r="CW140" i="89"/>
  <c r="CI144" i="89"/>
  <c r="CQ144" i="89"/>
  <c r="CM144" i="89"/>
  <c r="CW144" i="89"/>
  <c r="CI135" i="89"/>
  <c r="CQ135" i="89"/>
  <c r="CM135" i="89"/>
  <c r="CW135" i="89"/>
  <c r="CR162" i="89"/>
  <c r="CV162" i="89"/>
  <c r="CI162" i="89"/>
  <c r="CR153" i="89"/>
  <c r="CI153" i="89"/>
  <c r="CV153" i="89" s="1"/>
  <c r="CR159" i="89"/>
  <c r="CV159" i="89"/>
  <c r="CI159" i="89"/>
  <c r="CR152" i="89"/>
  <c r="CI152" i="89"/>
  <c r="CV152" i="89" s="1"/>
  <c r="CP148" i="89"/>
  <c r="CP150" i="89"/>
  <c r="CP152" i="89"/>
  <c r="CP154" i="89"/>
  <c r="CP156" i="89"/>
  <c r="CP158" i="89"/>
  <c r="CP149" i="89"/>
  <c r="CP151" i="89"/>
  <c r="CP153" i="89"/>
  <c r="CP155" i="89"/>
  <c r="CP157" i="89"/>
  <c r="CP159" i="89"/>
  <c r="CP161" i="89"/>
  <c r="CP162" i="89"/>
  <c r="CP160" i="89"/>
  <c r="CL136" i="89"/>
  <c r="CH136" i="89" s="1"/>
  <c r="CL144" i="89"/>
  <c r="CH144" i="89" s="1"/>
  <c r="CL146" i="89"/>
  <c r="CH146" i="89" s="1"/>
  <c r="CL132" i="89"/>
  <c r="CP137" i="89"/>
  <c r="CP134" i="89"/>
  <c r="CP132" i="89"/>
  <c r="CR134" i="89"/>
  <c r="CV134" i="89"/>
  <c r="CR132" i="89"/>
  <c r="CV132" i="89"/>
  <c r="CR144" i="89"/>
  <c r="CV144" i="89"/>
  <c r="CR139" i="89"/>
  <c r="CV139" i="89"/>
  <c r="CP77" i="89"/>
  <c r="CP78" i="89"/>
  <c r="CP79" i="89"/>
  <c r="CP80" i="89"/>
  <c r="CP81" i="89"/>
  <c r="CP82" i="89"/>
  <c r="CP83" i="89"/>
  <c r="CP84" i="89"/>
  <c r="CP85" i="89"/>
  <c r="CP86" i="89"/>
  <c r="CP87" i="89"/>
  <c r="CP88" i="89"/>
  <c r="CP89" i="89"/>
  <c r="CP90" i="89"/>
  <c r="CP91" i="89"/>
  <c r="CP92" i="89"/>
  <c r="CP94" i="89"/>
  <c r="CS94" i="89" s="1"/>
  <c r="CP96" i="89"/>
  <c r="CS96" i="89" s="1"/>
  <c r="CP98" i="89"/>
  <c r="CP101" i="89"/>
  <c r="CP103" i="89"/>
  <c r="CP105" i="89"/>
  <c r="CP107" i="89"/>
  <c r="CP99" i="89"/>
  <c r="CP93" i="89"/>
  <c r="CP95" i="89"/>
  <c r="CP97" i="89"/>
  <c r="CP102" i="89"/>
  <c r="CP104" i="89"/>
  <c r="CP100" i="89"/>
  <c r="CP106" i="89"/>
  <c r="CR106" i="89"/>
  <c r="CV106" i="89"/>
  <c r="CI106" i="89"/>
  <c r="CV99" i="89"/>
  <c r="CR99" i="89"/>
  <c r="CI99" i="89"/>
  <c r="CR92" i="89"/>
  <c r="CI92" i="89"/>
  <c r="CV92" i="89" s="1"/>
  <c r="CR84" i="89"/>
  <c r="CV84" i="89"/>
  <c r="CI84" i="89"/>
  <c r="CR83" i="89"/>
  <c r="CV83" i="89"/>
  <c r="CI83" i="89"/>
  <c r="CT91" i="89"/>
  <c r="CV105" i="89"/>
  <c r="CR105" i="89"/>
  <c r="CI105" i="89"/>
  <c r="CR104" i="89"/>
  <c r="CV104" i="89"/>
  <c r="CI104" i="89"/>
  <c r="CV98" i="89"/>
  <c r="CR98" i="89"/>
  <c r="CI98" i="89"/>
  <c r="CR90" i="89"/>
  <c r="CI90" i="89"/>
  <c r="CV90" i="89" s="1"/>
  <c r="CR82" i="89"/>
  <c r="CV82" i="89"/>
  <c r="CI82" i="89"/>
  <c r="CR89" i="89"/>
  <c r="CV89" i="89"/>
  <c r="CI89" i="89"/>
  <c r="CR81" i="89"/>
  <c r="CV81" i="89"/>
  <c r="CI81" i="89"/>
  <c r="CU96" i="89"/>
  <c r="CG96" i="89"/>
  <c r="CF96" i="89" s="1"/>
  <c r="CT96" i="89"/>
  <c r="CV103" i="89"/>
  <c r="CR103" i="89"/>
  <c r="CI103" i="89"/>
  <c r="CR102" i="89"/>
  <c r="CV102" i="89"/>
  <c r="CI102" i="89"/>
  <c r="CR97" i="89"/>
  <c r="CI97" i="89"/>
  <c r="CV97" i="89" s="1"/>
  <c r="CH96" i="89"/>
  <c r="CR96" i="89"/>
  <c r="CI96" i="89"/>
  <c r="CV96" i="89" s="1"/>
  <c r="CR88" i="89"/>
  <c r="CV88" i="89"/>
  <c r="CI88" i="89"/>
  <c r="CR80" i="89"/>
  <c r="CV80" i="89"/>
  <c r="CI80" i="89"/>
  <c r="CR87" i="89"/>
  <c r="CV87" i="89"/>
  <c r="CI87" i="89"/>
  <c r="CR79" i="89"/>
  <c r="CV79" i="89"/>
  <c r="CI79" i="89"/>
  <c r="CG102" i="89"/>
  <c r="CF102" i="89" s="1"/>
  <c r="CU103" i="89"/>
  <c r="CU94" i="89"/>
  <c r="CT94" i="89"/>
  <c r="CG94" i="89"/>
  <c r="CF94" i="89" s="1"/>
  <c r="CV107" i="89"/>
  <c r="CR107" i="89"/>
  <c r="CI107" i="89"/>
  <c r="CR93" i="89"/>
  <c r="CI93" i="89"/>
  <c r="CV93" i="89" s="1"/>
  <c r="CR91" i="89"/>
  <c r="CI91" i="89"/>
  <c r="CV91" i="89" s="1"/>
  <c r="CV101" i="89"/>
  <c r="CR101" i="89"/>
  <c r="CI101" i="89"/>
  <c r="CR100" i="89"/>
  <c r="CV100" i="89"/>
  <c r="CI100" i="89"/>
  <c r="CR95" i="89"/>
  <c r="CI95" i="89"/>
  <c r="CV95" i="89" s="1"/>
  <c r="CH94" i="89"/>
  <c r="CR94" i="89"/>
  <c r="CI94" i="89"/>
  <c r="CV94" i="89" s="1"/>
  <c r="CR86" i="89"/>
  <c r="CV86" i="89"/>
  <c r="CI86" i="89"/>
  <c r="CR78" i="89"/>
  <c r="CV78" i="89"/>
  <c r="CI78" i="89"/>
  <c r="CR85" i="89"/>
  <c r="CV85" i="89"/>
  <c r="CI85" i="89"/>
  <c r="CR77" i="89"/>
  <c r="CV77" i="89"/>
  <c r="CI77" i="89"/>
  <c r="CG93" i="89"/>
  <c r="CF93" i="89" s="1"/>
  <c r="CT93" i="89"/>
  <c r="CE67" i="89"/>
  <c r="CR38" i="89"/>
  <c r="CI38" i="89"/>
  <c r="CV38" i="89" s="1"/>
  <c r="CR29" i="89"/>
  <c r="CV29" i="89"/>
  <c r="CI29" i="89"/>
  <c r="CP18" i="89"/>
  <c r="CP20" i="89"/>
  <c r="CP22" i="89"/>
  <c r="CP24" i="89"/>
  <c r="CP26" i="89"/>
  <c r="CP28" i="89"/>
  <c r="CP30" i="89"/>
  <c r="CP32" i="89"/>
  <c r="CP21" i="89"/>
  <c r="CP25" i="89"/>
  <c r="CP33" i="89"/>
  <c r="CP35" i="89"/>
  <c r="CP39" i="89"/>
  <c r="CP43" i="89"/>
  <c r="CP31" i="89"/>
  <c r="CP36" i="89"/>
  <c r="CP40" i="89"/>
  <c r="CP44" i="89"/>
  <c r="CP47" i="89"/>
  <c r="CP38" i="89"/>
  <c r="CP19" i="89"/>
  <c r="CP23" i="89"/>
  <c r="CP37" i="89"/>
  <c r="CP42" i="89"/>
  <c r="CP27" i="89"/>
  <c r="CP41" i="89"/>
  <c r="CP46" i="89"/>
  <c r="CP29" i="89"/>
  <c r="CP34" i="89"/>
  <c r="CP45" i="89"/>
  <c r="CP48" i="89"/>
  <c r="CR34" i="89"/>
  <c r="CI34" i="89"/>
  <c r="CV34" i="89" s="1"/>
  <c r="CR45" i="89"/>
  <c r="CV45" i="89"/>
  <c r="CI45" i="89"/>
  <c r="CR21" i="89"/>
  <c r="CV21" i="89"/>
  <c r="CI21" i="89"/>
  <c r="CR33" i="89"/>
  <c r="CI33" i="89"/>
  <c r="CV33" i="89" s="1"/>
  <c r="CR31" i="89"/>
  <c r="CI31" i="89"/>
  <c r="CV31" i="89" s="1"/>
  <c r="CR27" i="89"/>
  <c r="CV27" i="89"/>
  <c r="CI27" i="89"/>
  <c r="CV43" i="89"/>
  <c r="CR43" i="89"/>
  <c r="CI43" i="89"/>
  <c r="CR35" i="89"/>
  <c r="CI35" i="89"/>
  <c r="CV35" i="89" s="1"/>
  <c r="CR19" i="89"/>
  <c r="CV19" i="89"/>
  <c r="CI19" i="89"/>
  <c r="CV28" i="89"/>
  <c r="CR28" i="89"/>
  <c r="CI28" i="89"/>
  <c r="CV20" i="89"/>
  <c r="CR20" i="89"/>
  <c r="CI20" i="89"/>
  <c r="CL18" i="89"/>
  <c r="CH18" i="89" s="1"/>
  <c r="CL20" i="89"/>
  <c r="CL22" i="89"/>
  <c r="CL24" i="89"/>
  <c r="CH24" i="89" s="1"/>
  <c r="CL26" i="89"/>
  <c r="CH26" i="89" s="1"/>
  <c r="CL28" i="89"/>
  <c r="CH28" i="89" s="1"/>
  <c r="CL30" i="89"/>
  <c r="CL32" i="89"/>
  <c r="CH32" i="89" s="1"/>
  <c r="CE8" i="89"/>
  <c r="CL21" i="89"/>
  <c r="CH21" i="89" s="1"/>
  <c r="CL25" i="89"/>
  <c r="CL31" i="89"/>
  <c r="CL34" i="89"/>
  <c r="CH34" i="89" s="1"/>
  <c r="CL38" i="89"/>
  <c r="CH38" i="89" s="1"/>
  <c r="CL42" i="89"/>
  <c r="CH42" i="89" s="1"/>
  <c r="CL19" i="89"/>
  <c r="CL23" i="89"/>
  <c r="CH23" i="89" s="1"/>
  <c r="CL29" i="89"/>
  <c r="CL35" i="89"/>
  <c r="CL39" i="89"/>
  <c r="CH39" i="89" s="1"/>
  <c r="CL43" i="89"/>
  <c r="CH43" i="89" s="1"/>
  <c r="CL47" i="89"/>
  <c r="CL33" i="89"/>
  <c r="CL36" i="89"/>
  <c r="CH36" i="89" s="1"/>
  <c r="CL41" i="89"/>
  <c r="CH41" i="89" s="1"/>
  <c r="CL46" i="89"/>
  <c r="CH46" i="89" s="1"/>
  <c r="CL48" i="89"/>
  <c r="CL27" i="89"/>
  <c r="CL45" i="89"/>
  <c r="CL44" i="89"/>
  <c r="CH44" i="89" s="1"/>
  <c r="CL37" i="89"/>
  <c r="CL40" i="89"/>
  <c r="CH40" i="89" s="1"/>
  <c r="CR48" i="89"/>
  <c r="CV48" i="89"/>
  <c r="CI48" i="89"/>
  <c r="CV40" i="89"/>
  <c r="CR40" i="89"/>
  <c r="CI40" i="89"/>
  <c r="CV39" i="89"/>
  <c r="CR39" i="89"/>
  <c r="CI39" i="89"/>
  <c r="CR23" i="89"/>
  <c r="CV23" i="89"/>
  <c r="CI23" i="89"/>
  <c r="CR32" i="89"/>
  <c r="CI32" i="89"/>
  <c r="CV32" i="89" s="1"/>
  <c r="CV24" i="89"/>
  <c r="CR24" i="89"/>
  <c r="CI24" i="89"/>
  <c r="CR46" i="89"/>
  <c r="CV46" i="89"/>
  <c r="CI46" i="89"/>
  <c r="CR36" i="89"/>
  <c r="CI36" i="89"/>
  <c r="CV36" i="89" s="1"/>
  <c r="CR37" i="89"/>
  <c r="CI37" i="89"/>
  <c r="CV37" i="89" s="1"/>
  <c r="CV30" i="89"/>
  <c r="CR30" i="89"/>
  <c r="CI30" i="89"/>
  <c r="CR22" i="89"/>
  <c r="CV22" i="89"/>
  <c r="CI22" i="89"/>
  <c r="CR42" i="89"/>
  <c r="CV42" i="89"/>
  <c r="CI42" i="89"/>
  <c r="CV44" i="89"/>
  <c r="CR44" i="89"/>
  <c r="CI44" i="89"/>
  <c r="CR47" i="89"/>
  <c r="CV47" i="89"/>
  <c r="CI47" i="89"/>
  <c r="CR41" i="89"/>
  <c r="CV41" i="89"/>
  <c r="CI41" i="89"/>
  <c r="CR25" i="89"/>
  <c r="CV25" i="89"/>
  <c r="CI25" i="89"/>
  <c r="CR26" i="89"/>
  <c r="CV26" i="89"/>
  <c r="CI26" i="89"/>
  <c r="CR18" i="89"/>
  <c r="CV18" i="89"/>
  <c r="CI18" i="89"/>
  <c r="CT207" i="82"/>
  <c r="CX207" i="82" s="1"/>
  <c r="CP207" i="82"/>
  <c r="CT202" i="82"/>
  <c r="CX202" i="82" s="1"/>
  <c r="CP202" i="82"/>
  <c r="CP193" i="82"/>
  <c r="CT193" i="82"/>
  <c r="CX193" i="82" s="1"/>
  <c r="CT211" i="82"/>
  <c r="CX211" i="82" s="1"/>
  <c r="CP211" i="82"/>
  <c r="CP217" i="82"/>
  <c r="CT217" i="82"/>
  <c r="CX217" i="82" s="1"/>
  <c r="CP212" i="82"/>
  <c r="CT212" i="82"/>
  <c r="CX212" i="82" s="1"/>
  <c r="CG204" i="82"/>
  <c r="CF204" i="82" s="1"/>
  <c r="CS196" i="82"/>
  <c r="CW196" i="82" s="1"/>
  <c r="CG196" i="82"/>
  <c r="CF196" i="82" s="1"/>
  <c r="CS192" i="82"/>
  <c r="CW192" i="82" s="1"/>
  <c r="CG192" i="82"/>
  <c r="CF192" i="82" s="1"/>
  <c r="CT201" i="82"/>
  <c r="CX201" i="82" s="1"/>
  <c r="CP201" i="82"/>
  <c r="CP200" i="82"/>
  <c r="CT200" i="82"/>
  <c r="CX200" i="82" s="1"/>
  <c r="CP192" i="82"/>
  <c r="CT192" i="82"/>
  <c r="CX192" i="82" s="1"/>
  <c r="CP220" i="82"/>
  <c r="CT220" i="82"/>
  <c r="CX220" i="82" s="1"/>
  <c r="CT208" i="82"/>
  <c r="CX208" i="82" s="1"/>
  <c r="CP208" i="82"/>
  <c r="CS207" i="82"/>
  <c r="CW207" i="82" s="1"/>
  <c r="CV207" i="82"/>
  <c r="CR207" i="82"/>
  <c r="CG207" i="82"/>
  <c r="CF207" i="82" s="1"/>
  <c r="CS203" i="82"/>
  <c r="CW203" i="82" s="1"/>
  <c r="CG203" i="82"/>
  <c r="CF203" i="82" s="1"/>
  <c r="CS199" i="82"/>
  <c r="CW199" i="82" s="1"/>
  <c r="CG199" i="82"/>
  <c r="CF199" i="82" s="1"/>
  <c r="CS195" i="82"/>
  <c r="CW195" i="82" s="1"/>
  <c r="CG195" i="82"/>
  <c r="CF195" i="82" s="1"/>
  <c r="CV212" i="82"/>
  <c r="CS210" i="82"/>
  <c r="CW210" i="82" s="1"/>
  <c r="CV210" i="82"/>
  <c r="CR210" i="82"/>
  <c r="CG210" i="82"/>
  <c r="CF210" i="82" s="1"/>
  <c r="CP205" i="82"/>
  <c r="CT205" i="82"/>
  <c r="CX205" i="82" s="1"/>
  <c r="CT206" i="82"/>
  <c r="CX206" i="82" s="1"/>
  <c r="CP206" i="82"/>
  <c r="CP199" i="82"/>
  <c r="CT199" i="82"/>
  <c r="CX199" i="82" s="1"/>
  <c r="CP195" i="82"/>
  <c r="CT195" i="82"/>
  <c r="CX195" i="82" s="1"/>
  <c r="CP222" i="82"/>
  <c r="CT222" i="82"/>
  <c r="CX222" i="82" s="1"/>
  <c r="CP214" i="82"/>
  <c r="CT214" i="82"/>
  <c r="CX214" i="82" s="1"/>
  <c r="CP210" i="82"/>
  <c r="CT210" i="82"/>
  <c r="CX210" i="82" s="1"/>
  <c r="CT213" i="82"/>
  <c r="CX213" i="82" s="1"/>
  <c r="CP213" i="82"/>
  <c r="CS202" i="82"/>
  <c r="CW202" i="82" s="1"/>
  <c r="CG202" i="82"/>
  <c r="CF202" i="82" s="1"/>
  <c r="CS198" i="82"/>
  <c r="CW198" i="82" s="1"/>
  <c r="CG198" i="82"/>
  <c r="CF198" i="82" s="1"/>
  <c r="CS194" i="82"/>
  <c r="CW194" i="82" s="1"/>
  <c r="CG194" i="82"/>
  <c r="CF194" i="82" s="1"/>
  <c r="CS218" i="82"/>
  <c r="CW218" i="82" s="1"/>
  <c r="CV218" i="82"/>
  <c r="CR218" i="82"/>
  <c r="CG218" i="82"/>
  <c r="CF218" i="82" s="1"/>
  <c r="CG217" i="82"/>
  <c r="CF217" i="82" s="1"/>
  <c r="CS208" i="82"/>
  <c r="CW208" i="82" s="1"/>
  <c r="CV211" i="82"/>
  <c r="CG211" i="82"/>
  <c r="CF211" i="82" s="1"/>
  <c r="CP197" i="82"/>
  <c r="CT197" i="82"/>
  <c r="CX197" i="82" s="1"/>
  <c r="CP218" i="82"/>
  <c r="CT218" i="82"/>
  <c r="CX218" i="82" s="1"/>
  <c r="CS206" i="82"/>
  <c r="CW206" i="82" s="1"/>
  <c r="CG206" i="82"/>
  <c r="CF206" i="82" s="1"/>
  <c r="CS200" i="82"/>
  <c r="CW200" i="82" s="1"/>
  <c r="CG200" i="82"/>
  <c r="CF200" i="82" s="1"/>
  <c r="CP196" i="82"/>
  <c r="CT196" i="82"/>
  <c r="CX196" i="82" s="1"/>
  <c r="CT216" i="82"/>
  <c r="CX216" i="82" s="1"/>
  <c r="CP216" i="82"/>
  <c r="CN209" i="82"/>
  <c r="CQ209" i="82" s="1"/>
  <c r="CN213" i="82"/>
  <c r="CN208" i="82"/>
  <c r="CQ208" i="82" s="1"/>
  <c r="CN212" i="82"/>
  <c r="CN215" i="82"/>
  <c r="CN216" i="82"/>
  <c r="CQ216" i="82" s="1"/>
  <c r="CN219" i="82"/>
  <c r="CN214" i="82"/>
  <c r="CN217" i="82"/>
  <c r="CN221" i="82"/>
  <c r="CN210" i="82"/>
  <c r="CQ210" i="82" s="1"/>
  <c r="CN211" i="82"/>
  <c r="CQ211" i="82" s="1"/>
  <c r="CN220" i="82"/>
  <c r="CQ220" i="82" s="1"/>
  <c r="CN222" i="82"/>
  <c r="CQ222" i="82" s="1"/>
  <c r="CN218" i="82"/>
  <c r="CQ218" i="82" s="1"/>
  <c r="CP204" i="82"/>
  <c r="CT204" i="82"/>
  <c r="CX204" i="82" s="1"/>
  <c r="CP203" i="82"/>
  <c r="CT203" i="82"/>
  <c r="CX203" i="82" s="1"/>
  <c r="CP198" i="82"/>
  <c r="CT198" i="82"/>
  <c r="CX198" i="82" s="1"/>
  <c r="CP194" i="82"/>
  <c r="CT194" i="82"/>
  <c r="CX194" i="82" s="1"/>
  <c r="CP219" i="82"/>
  <c r="CT219" i="82"/>
  <c r="CX219" i="82" s="1"/>
  <c r="CP221" i="82"/>
  <c r="CT221" i="82"/>
  <c r="CX221" i="82" s="1"/>
  <c r="CP215" i="82"/>
  <c r="CT215" i="82"/>
  <c r="CX215" i="82" s="1"/>
  <c r="CT209" i="82"/>
  <c r="CX209" i="82" s="1"/>
  <c r="CP209" i="82"/>
  <c r="CG205" i="82"/>
  <c r="CF205" i="82" s="1"/>
  <c r="CS201" i="82"/>
  <c r="CW201" i="82" s="1"/>
  <c r="CG201" i="82"/>
  <c r="CF201" i="82" s="1"/>
  <c r="CS197" i="82"/>
  <c r="CW197" i="82" s="1"/>
  <c r="CG197" i="82"/>
  <c r="CF197" i="82" s="1"/>
  <c r="CS193" i="82"/>
  <c r="CW193" i="82" s="1"/>
  <c r="CG193" i="82"/>
  <c r="CF193" i="82" s="1"/>
  <c r="CS222" i="82"/>
  <c r="CW222" i="82" s="1"/>
  <c r="CV222" i="82"/>
  <c r="CR222" i="82"/>
  <c r="CG222" i="82"/>
  <c r="CF222" i="82" s="1"/>
  <c r="CS216" i="82"/>
  <c r="CW216" i="82" s="1"/>
  <c r="CR216" i="82"/>
  <c r="CV216" i="82"/>
  <c r="CG216" i="82"/>
  <c r="CF216" i="82" s="1"/>
  <c r="CV220" i="82"/>
  <c r="CR220" i="82"/>
  <c r="CS220" i="82"/>
  <c r="CW220" i="82" s="1"/>
  <c r="CG220" i="82"/>
  <c r="CF220" i="82" s="1"/>
  <c r="CS209" i="82"/>
  <c r="CW209" i="82" s="1"/>
  <c r="CR209" i="82"/>
  <c r="CV209" i="82"/>
  <c r="CG209" i="82"/>
  <c r="CF209" i="82" s="1"/>
  <c r="CP145" i="82"/>
  <c r="CT145" i="82"/>
  <c r="CX145" i="82" s="1"/>
  <c r="CP138" i="82"/>
  <c r="CT138" i="82"/>
  <c r="CX138" i="82" s="1"/>
  <c r="CP134" i="82"/>
  <c r="CT134" i="82"/>
  <c r="CX134" i="82" s="1"/>
  <c r="CT158" i="82"/>
  <c r="CX158" i="82" s="1"/>
  <c r="CP158" i="82"/>
  <c r="CP150" i="82"/>
  <c r="CT150" i="82"/>
  <c r="CX150" i="82" s="1"/>
  <c r="CS147" i="82"/>
  <c r="CW147" i="82" s="1"/>
  <c r="CR147" i="82"/>
  <c r="CV147" i="82"/>
  <c r="CG147" i="82"/>
  <c r="CF147" i="82" s="1"/>
  <c r="CS144" i="82"/>
  <c r="CW144" i="82" s="1"/>
  <c r="CG144" i="82"/>
  <c r="CF144" i="82" s="1"/>
  <c r="CS140" i="82"/>
  <c r="CW140" i="82" s="1"/>
  <c r="CG140" i="82"/>
  <c r="CF140" i="82" s="1"/>
  <c r="CS136" i="82"/>
  <c r="CW136" i="82" s="1"/>
  <c r="CG136" i="82"/>
  <c r="CF136" i="82" s="1"/>
  <c r="CS156" i="82"/>
  <c r="CW156" i="82" s="1"/>
  <c r="CR156" i="82"/>
  <c r="CV156" i="82"/>
  <c r="CG156" i="82"/>
  <c r="CF156" i="82" s="1"/>
  <c r="CP147" i="82"/>
  <c r="CT147" i="82"/>
  <c r="CX147" i="82" s="1"/>
  <c r="CP137" i="82"/>
  <c r="CT137" i="82"/>
  <c r="CX137" i="82" s="1"/>
  <c r="CT160" i="82"/>
  <c r="CX160" i="82" s="1"/>
  <c r="CP160" i="82"/>
  <c r="CS135" i="82"/>
  <c r="CW135" i="82" s="1"/>
  <c r="CG135" i="82"/>
  <c r="CF135" i="82" s="1"/>
  <c r="CS146" i="82"/>
  <c r="CW146" i="82" s="1"/>
  <c r="CR146" i="82"/>
  <c r="CV146" i="82"/>
  <c r="CQ146" i="82"/>
  <c r="CG146" i="82"/>
  <c r="CF146" i="82" s="1"/>
  <c r="CS139" i="82"/>
  <c r="CW139" i="82" s="1"/>
  <c r="CG139" i="82"/>
  <c r="CF139" i="82" s="1"/>
  <c r="CS161" i="82"/>
  <c r="CW161" i="82" s="1"/>
  <c r="CT141" i="82"/>
  <c r="CX141" i="82" s="1"/>
  <c r="CP141" i="82"/>
  <c r="CP140" i="82"/>
  <c r="CT140" i="82"/>
  <c r="CX140" i="82" s="1"/>
  <c r="CP136" i="82"/>
  <c r="CT136" i="82"/>
  <c r="CX136" i="82" s="1"/>
  <c r="CP132" i="82"/>
  <c r="CT132" i="82"/>
  <c r="CX132" i="82" s="1"/>
  <c r="CT162" i="82"/>
  <c r="CX162" i="82" s="1"/>
  <c r="CP162" i="82"/>
  <c r="CP152" i="82"/>
  <c r="CT152" i="82"/>
  <c r="CX152" i="82" s="1"/>
  <c r="CP148" i="82"/>
  <c r="CT148" i="82"/>
  <c r="CX148" i="82" s="1"/>
  <c r="CS142" i="82"/>
  <c r="CW142" i="82" s="1"/>
  <c r="CG142" i="82"/>
  <c r="CF142" i="82" s="1"/>
  <c r="CQ138" i="82"/>
  <c r="CR138" i="82"/>
  <c r="CV138" i="82"/>
  <c r="CS138" i="82"/>
  <c r="CW138" i="82" s="1"/>
  <c r="CG138" i="82"/>
  <c r="CF138" i="82" s="1"/>
  <c r="CN157" i="82"/>
  <c r="CN156" i="82"/>
  <c r="CQ156" i="82" s="1"/>
  <c r="CN148" i="82"/>
  <c r="CN149" i="82"/>
  <c r="CN150" i="82"/>
  <c r="CN151" i="82"/>
  <c r="CN152" i="82"/>
  <c r="CN153" i="82"/>
  <c r="CN154" i="82"/>
  <c r="CN155" i="82"/>
  <c r="CN160" i="82"/>
  <c r="CN158" i="82"/>
  <c r="CN159" i="82"/>
  <c r="CN161" i="82"/>
  <c r="CN162" i="82"/>
  <c r="CP143" i="82"/>
  <c r="CT143" i="82"/>
  <c r="CX143" i="82" s="1"/>
  <c r="CP154" i="82"/>
  <c r="CT154" i="82"/>
  <c r="CX154" i="82" s="1"/>
  <c r="CT157" i="82"/>
  <c r="CX157" i="82" s="1"/>
  <c r="CP157" i="82"/>
  <c r="CS132" i="82"/>
  <c r="CW132" i="82" s="1"/>
  <c r="CG132" i="82"/>
  <c r="CF132" i="82" s="1"/>
  <c r="CT142" i="82"/>
  <c r="CX142" i="82" s="1"/>
  <c r="CP142" i="82"/>
  <c r="CP133" i="82"/>
  <c r="CT133" i="82"/>
  <c r="CX133" i="82" s="1"/>
  <c r="CP159" i="82"/>
  <c r="CT159" i="82"/>
  <c r="CX159" i="82" s="1"/>
  <c r="CP153" i="82"/>
  <c r="CT153" i="82"/>
  <c r="CX153" i="82" s="1"/>
  <c r="CP149" i="82"/>
  <c r="CT149" i="82"/>
  <c r="CX149" i="82" s="1"/>
  <c r="CS143" i="82"/>
  <c r="CW143" i="82" s="1"/>
  <c r="CG143" i="82"/>
  <c r="CF143" i="82" s="1"/>
  <c r="CP144" i="82"/>
  <c r="CT144" i="82"/>
  <c r="CX144" i="82" s="1"/>
  <c r="CT146" i="82"/>
  <c r="CX146" i="82" s="1"/>
  <c r="CP146" i="82"/>
  <c r="CP139" i="82"/>
  <c r="CT139" i="82"/>
  <c r="CX139" i="82" s="1"/>
  <c r="CP135" i="82"/>
  <c r="CT135" i="82"/>
  <c r="CX135" i="82" s="1"/>
  <c r="CP161" i="82"/>
  <c r="CT161" i="82"/>
  <c r="CX161" i="82" s="1"/>
  <c r="CT155" i="82"/>
  <c r="CX155" i="82" s="1"/>
  <c r="CP155" i="82"/>
  <c r="CP151" i="82"/>
  <c r="CT151" i="82"/>
  <c r="CX151" i="82" s="1"/>
  <c r="CT156" i="82"/>
  <c r="CX156" i="82" s="1"/>
  <c r="CP156" i="82"/>
  <c r="CS133" i="82"/>
  <c r="CW133" i="82" s="1"/>
  <c r="CG133" i="82"/>
  <c r="CF133" i="82" s="1"/>
  <c r="CS145" i="82"/>
  <c r="CW145" i="82" s="1"/>
  <c r="CG145" i="82"/>
  <c r="CF145" i="82" s="1"/>
  <c r="CS137" i="82"/>
  <c r="CW137" i="82" s="1"/>
  <c r="CG137" i="82"/>
  <c r="CF137" i="82" s="1"/>
  <c r="CR155" i="82"/>
  <c r="CP83" i="82"/>
  <c r="CT83" i="82"/>
  <c r="CX83" i="82" s="1"/>
  <c r="CT105" i="82"/>
  <c r="CX105" i="82" s="1"/>
  <c r="CP105" i="82"/>
  <c r="CP84" i="82"/>
  <c r="CT84" i="82"/>
  <c r="CX84" i="82" s="1"/>
  <c r="CT87" i="82"/>
  <c r="CX87" i="82" s="1"/>
  <c r="CP87" i="82"/>
  <c r="CT94" i="82"/>
  <c r="CX94" i="82" s="1"/>
  <c r="CP94" i="82"/>
  <c r="CP81" i="82"/>
  <c r="CT81" i="82"/>
  <c r="CX81" i="82" s="1"/>
  <c r="CT104" i="82"/>
  <c r="CX104" i="82" s="1"/>
  <c r="CP104" i="82"/>
  <c r="CT100" i="82"/>
  <c r="CX100" i="82" s="1"/>
  <c r="CP100" i="82"/>
  <c r="CT95" i="82"/>
  <c r="CX95" i="82" s="1"/>
  <c r="CP95" i="82"/>
  <c r="CP80" i="82"/>
  <c r="CT80" i="82"/>
  <c r="CX80" i="82" s="1"/>
  <c r="CP82" i="82"/>
  <c r="CT82" i="82"/>
  <c r="CX82" i="82" s="1"/>
  <c r="CT90" i="82"/>
  <c r="CX90" i="82" s="1"/>
  <c r="CP90" i="82"/>
  <c r="CT97" i="82"/>
  <c r="CX97" i="82" s="1"/>
  <c r="CP97" i="82"/>
  <c r="CP79" i="82"/>
  <c r="CT79" i="82"/>
  <c r="CX79" i="82" s="1"/>
  <c r="CT86" i="82"/>
  <c r="CX86" i="82" s="1"/>
  <c r="CP86" i="82"/>
  <c r="CT107" i="82"/>
  <c r="CX107" i="82" s="1"/>
  <c r="CP107" i="82"/>
  <c r="CT103" i="82"/>
  <c r="CX103" i="82" s="1"/>
  <c r="CP103" i="82"/>
  <c r="CT99" i="82"/>
  <c r="CX99" i="82" s="1"/>
  <c r="CP99" i="82"/>
  <c r="CT93" i="82"/>
  <c r="CX93" i="82" s="1"/>
  <c r="CP93" i="82"/>
  <c r="CP77" i="82"/>
  <c r="CT77" i="82"/>
  <c r="CX77" i="82" s="1"/>
  <c r="CP78" i="82"/>
  <c r="CT78" i="82"/>
  <c r="CX78" i="82" s="1"/>
  <c r="CP96" i="82"/>
  <c r="CT96" i="82"/>
  <c r="CX96" i="82" s="1"/>
  <c r="CT101" i="82"/>
  <c r="CX101" i="82" s="1"/>
  <c r="CP101" i="82"/>
  <c r="CT88" i="82"/>
  <c r="CX88" i="82" s="1"/>
  <c r="CP88" i="82"/>
  <c r="CT91" i="82"/>
  <c r="CX91" i="82" s="1"/>
  <c r="CP91" i="82"/>
  <c r="CP85" i="82"/>
  <c r="CT85" i="82"/>
  <c r="CX85" i="82" s="1"/>
  <c r="CT106" i="82"/>
  <c r="CX106" i="82" s="1"/>
  <c r="CP106" i="82"/>
  <c r="CT102" i="82"/>
  <c r="CX102" i="82" s="1"/>
  <c r="CP102" i="82"/>
  <c r="CT98" i="82"/>
  <c r="CX98" i="82" s="1"/>
  <c r="CP98" i="82"/>
  <c r="CP89" i="82"/>
  <c r="CT89" i="82"/>
  <c r="CX89" i="82" s="1"/>
  <c r="CT92" i="82"/>
  <c r="CX92" i="82" s="1"/>
  <c r="CP92" i="82"/>
  <c r="CT44" i="82"/>
  <c r="CX44" i="82" s="1"/>
  <c r="CP44" i="82"/>
  <c r="CP25" i="82"/>
  <c r="CT25" i="82"/>
  <c r="CX25" i="82" s="1"/>
  <c r="CP38" i="82"/>
  <c r="CT38" i="82"/>
  <c r="CX38" i="82" s="1"/>
  <c r="CT20" i="82"/>
  <c r="CX20" i="82" s="1"/>
  <c r="CP20" i="82"/>
  <c r="CT32" i="82"/>
  <c r="CX32" i="82" s="1"/>
  <c r="CP32" i="82"/>
  <c r="CT33" i="82"/>
  <c r="CX33" i="82" s="1"/>
  <c r="CP33" i="82"/>
  <c r="CT21" i="82"/>
  <c r="CX21" i="82" s="1"/>
  <c r="CP21" i="82"/>
  <c r="CP39" i="82"/>
  <c r="CT39" i="82"/>
  <c r="CX39" i="82" s="1"/>
  <c r="CP30" i="82"/>
  <c r="CT30" i="82"/>
  <c r="CX30" i="82" s="1"/>
  <c r="CP34" i="82"/>
  <c r="CT34" i="82"/>
  <c r="CX34" i="82" s="1"/>
  <c r="CT31" i="82"/>
  <c r="CX31" i="82" s="1"/>
  <c r="CP31" i="82"/>
  <c r="CP19" i="82"/>
  <c r="CT19" i="82"/>
  <c r="CX19" i="82" s="1"/>
  <c r="CP29" i="82"/>
  <c r="CT29" i="82"/>
  <c r="CX29" i="82" s="1"/>
  <c r="CT42" i="82"/>
  <c r="CX42" i="82" s="1"/>
  <c r="CP42" i="82"/>
  <c r="CP26" i="82"/>
  <c r="CT26" i="82"/>
  <c r="CX26" i="82" s="1"/>
  <c r="CT45" i="82"/>
  <c r="CX45" i="82" s="1"/>
  <c r="CP45" i="82"/>
  <c r="CT46" i="82"/>
  <c r="CX46" i="82" s="1"/>
  <c r="CP46" i="82"/>
  <c r="CP22" i="82"/>
  <c r="CT22" i="82"/>
  <c r="CX22" i="82" s="1"/>
  <c r="CT36" i="82"/>
  <c r="CX36" i="82" s="1"/>
  <c r="CP36" i="82"/>
  <c r="CT37" i="82"/>
  <c r="CX37" i="82" s="1"/>
  <c r="CP37" i="82"/>
  <c r="CP35" i="82"/>
  <c r="CT35" i="82"/>
  <c r="CX35" i="82" s="1"/>
  <c r="CP27" i="82"/>
  <c r="CT27" i="82"/>
  <c r="CX27" i="82" s="1"/>
  <c r="CT43" i="82"/>
  <c r="CX43" i="82" s="1"/>
  <c r="CP43" i="82"/>
  <c r="CT47" i="82"/>
  <c r="CX47" i="82" s="1"/>
  <c r="CP47" i="82"/>
  <c r="CP18" i="82"/>
  <c r="CT18" i="82"/>
  <c r="CX18" i="82" s="1"/>
  <c r="CT48" i="82"/>
  <c r="CX48" i="82" s="1"/>
  <c r="CP48" i="82"/>
  <c r="CT28" i="82"/>
  <c r="CX28" i="82" s="1"/>
  <c r="CP28" i="82"/>
  <c r="CT40" i="82"/>
  <c r="CX40" i="82" s="1"/>
  <c r="CP40" i="82"/>
  <c r="CT23" i="82"/>
  <c r="CX23" i="82" s="1"/>
  <c r="CP23" i="82"/>
  <c r="CT41" i="82"/>
  <c r="CX41" i="82" s="1"/>
  <c r="CP41" i="82"/>
  <c r="CT24" i="82"/>
  <c r="CX24" i="82" s="1"/>
  <c r="CP24" i="82"/>
  <c r="AC17" i="82"/>
  <c r="CP192" i="87" l="1"/>
  <c r="CV208" i="82"/>
  <c r="CV217" i="82"/>
  <c r="CG100" i="89"/>
  <c r="CF100" i="89" s="1"/>
  <c r="CG208" i="82"/>
  <c r="CF208" i="82" s="1"/>
  <c r="CZ208" i="82" s="1"/>
  <c r="CV159" i="82"/>
  <c r="CH81" i="89"/>
  <c r="CU137" i="89"/>
  <c r="CH139" i="89"/>
  <c r="CV141" i="82"/>
  <c r="CT101" i="89"/>
  <c r="CV133" i="82"/>
  <c r="CZ133" i="82" s="1"/>
  <c r="CU86" i="89"/>
  <c r="CG160" i="82"/>
  <c r="CF160" i="82" s="1"/>
  <c r="CR133" i="82"/>
  <c r="CH102" i="89"/>
  <c r="CU106" i="89"/>
  <c r="CU104" i="89"/>
  <c r="CS142" i="89"/>
  <c r="CS101" i="89"/>
  <c r="CV134" i="82"/>
  <c r="CP203" i="87"/>
  <c r="CS155" i="82"/>
  <c r="CW155" i="82" s="1"/>
  <c r="CQ161" i="82"/>
  <c r="CQ155" i="82"/>
  <c r="CG159" i="82"/>
  <c r="CF159" i="82" s="1"/>
  <c r="CR161" i="82"/>
  <c r="CQ140" i="82"/>
  <c r="CQ217" i="82"/>
  <c r="CR211" i="82"/>
  <c r="CS217" i="82"/>
  <c r="CW217" i="82" s="1"/>
  <c r="CU100" i="89"/>
  <c r="CG81" i="89"/>
  <c r="CF81" i="89" s="1"/>
  <c r="CU102" i="89"/>
  <c r="CX102" i="89" s="1"/>
  <c r="CG104" i="89"/>
  <c r="CF104" i="89" s="1"/>
  <c r="CG106" i="89"/>
  <c r="CF106" i="89" s="1"/>
  <c r="CS106" i="89"/>
  <c r="CS104" i="89"/>
  <c r="CS91" i="89"/>
  <c r="CS87" i="89"/>
  <c r="CS81" i="89"/>
  <c r="CH143" i="89"/>
  <c r="CS215" i="87"/>
  <c r="CG155" i="82"/>
  <c r="CF155" i="82" s="1"/>
  <c r="CQ159" i="82"/>
  <c r="CS159" i="82"/>
  <c r="CW159" i="82" s="1"/>
  <c r="CG161" i="82"/>
  <c r="CF161" i="82" s="1"/>
  <c r="CZ161" i="82" s="1"/>
  <c r="CS214" i="82"/>
  <c r="CW214" i="82" s="1"/>
  <c r="CT100" i="89"/>
  <c r="CX100" i="89" s="1"/>
  <c r="CH91" i="89"/>
  <c r="CH87" i="89"/>
  <c r="CT104" i="89"/>
  <c r="CG91" i="89"/>
  <c r="CF91" i="89" s="1"/>
  <c r="CX91" i="89" s="1"/>
  <c r="CT106" i="89"/>
  <c r="CS100" i="89"/>
  <c r="CS102" i="89"/>
  <c r="CU140" i="89"/>
  <c r="CF112" i="85"/>
  <c r="CG101" i="89"/>
  <c r="CF101" i="89" s="1"/>
  <c r="CU93" i="89"/>
  <c r="CX93" i="89" s="1"/>
  <c r="CH101" i="89"/>
  <c r="CS93" i="89"/>
  <c r="CU95" i="89"/>
  <c r="CG99" i="89"/>
  <c r="CF99" i="89" s="1"/>
  <c r="CS95" i="89"/>
  <c r="CS160" i="82"/>
  <c r="CW160" i="82" s="1"/>
  <c r="CQ160" i="82"/>
  <c r="CV160" i="82"/>
  <c r="CR145" i="82"/>
  <c r="CV137" i="82"/>
  <c r="CZ137" i="82" s="1"/>
  <c r="CG153" i="82"/>
  <c r="CF153" i="82" s="1"/>
  <c r="CQ139" i="82"/>
  <c r="CR137" i="82"/>
  <c r="CQ145" i="82"/>
  <c r="CS153" i="82"/>
  <c r="CW153" i="82" s="1"/>
  <c r="CQ141" i="82"/>
  <c r="CQ157" i="82"/>
  <c r="CR162" i="82"/>
  <c r="CR215" i="82"/>
  <c r="CV135" i="82"/>
  <c r="CZ135" i="82" s="1"/>
  <c r="CR148" i="82"/>
  <c r="CS141" i="82"/>
  <c r="CW141" i="82" s="1"/>
  <c r="CQ132" i="82"/>
  <c r="CG157" i="82"/>
  <c r="CF157" i="82" s="1"/>
  <c r="CS157" i="82"/>
  <c r="CW157" i="82" s="1"/>
  <c r="CV162" i="82"/>
  <c r="CQ215" i="82"/>
  <c r="CR144" i="82"/>
  <c r="CR141" i="82"/>
  <c r="CV132" i="82"/>
  <c r="CQ153" i="82"/>
  <c r="CG148" i="82"/>
  <c r="CF148" i="82" s="1"/>
  <c r="CR158" i="82"/>
  <c r="CV142" i="82"/>
  <c r="CZ142" i="82" s="1"/>
  <c r="CR157" i="82"/>
  <c r="CV153" i="82"/>
  <c r="CV206" i="82"/>
  <c r="CZ206" i="82" s="1"/>
  <c r="CR195" i="82"/>
  <c r="CV215" i="82"/>
  <c r="CS148" i="82"/>
  <c r="CW148" i="82" s="1"/>
  <c r="CG141" i="82"/>
  <c r="CF141" i="82" s="1"/>
  <c r="CQ162" i="82"/>
  <c r="CQ148" i="82"/>
  <c r="CR139" i="82"/>
  <c r="CS162" i="82"/>
  <c r="CW162" i="82" s="1"/>
  <c r="CR206" i="82"/>
  <c r="CS215" i="82"/>
  <c r="CW215" i="82" s="1"/>
  <c r="CH77" i="89"/>
  <c r="CG77" i="89"/>
  <c r="CF77" i="89" s="1"/>
  <c r="CT95" i="89"/>
  <c r="CS99" i="89"/>
  <c r="CS92" i="89"/>
  <c r="CS88" i="89"/>
  <c r="CH95" i="89"/>
  <c r="CS150" i="87"/>
  <c r="CP198" i="87"/>
  <c r="CS198" i="87" s="1"/>
  <c r="CP193" i="87"/>
  <c r="CS193" i="87" s="1"/>
  <c r="CH145" i="89"/>
  <c r="CG135" i="89"/>
  <c r="CF135" i="89" s="1"/>
  <c r="CS137" i="89"/>
  <c r="CS143" i="89"/>
  <c r="CS140" i="89"/>
  <c r="CS107" i="89"/>
  <c r="CH85" i="89"/>
  <c r="CU107" i="89"/>
  <c r="CG103" i="89"/>
  <c r="CF103" i="89" s="1"/>
  <c r="CH103" i="89"/>
  <c r="CU105" i="89"/>
  <c r="CG79" i="89"/>
  <c r="CF79" i="89" s="1"/>
  <c r="CT79" i="89" s="1"/>
  <c r="CX79" i="89" s="1"/>
  <c r="CH79" i="89"/>
  <c r="CH92" i="89"/>
  <c r="CS83" i="89"/>
  <c r="CG82" i="89"/>
  <c r="CF82" i="89" s="1"/>
  <c r="CT82" i="89" s="1"/>
  <c r="CX82" i="89" s="1"/>
  <c r="CT92" i="89"/>
  <c r="CG83" i="89"/>
  <c r="CF83" i="89" s="1"/>
  <c r="CG85" i="89"/>
  <c r="CF85" i="89" s="1"/>
  <c r="CH89" i="89"/>
  <c r="CH82" i="89"/>
  <c r="CS86" i="89"/>
  <c r="CS82" i="89"/>
  <c r="CS79" i="89"/>
  <c r="CH86" i="89"/>
  <c r="CU83" i="89"/>
  <c r="CT107" i="89"/>
  <c r="CS103" i="89"/>
  <c r="CS77" i="89"/>
  <c r="CU98" i="89"/>
  <c r="CT97" i="89"/>
  <c r="CS84" i="89"/>
  <c r="CS80" i="89"/>
  <c r="CU88" i="89"/>
  <c r="CG80" i="89"/>
  <c r="CF80" i="89" s="1"/>
  <c r="CH78" i="89"/>
  <c r="CG84" i="89"/>
  <c r="CF84" i="89" s="1"/>
  <c r="CH80" i="89"/>
  <c r="CH97" i="89"/>
  <c r="CG97" i="89"/>
  <c r="CF97" i="89" s="1"/>
  <c r="CH98" i="89"/>
  <c r="CG98" i="89"/>
  <c r="CF98" i="89" s="1"/>
  <c r="CG78" i="89"/>
  <c r="CF78" i="89" s="1"/>
  <c r="CT78" i="89" s="1"/>
  <c r="CX78" i="89" s="1"/>
  <c r="CS97" i="89"/>
  <c r="CS98" i="89"/>
  <c r="CU84" i="89"/>
  <c r="CS78" i="89"/>
  <c r="CU92" i="89"/>
  <c r="CG88" i="89"/>
  <c r="CF88" i="89" s="1"/>
  <c r="CG90" i="89"/>
  <c r="CF90" i="89" s="1"/>
  <c r="CU99" i="89"/>
  <c r="CH107" i="89"/>
  <c r="CU87" i="89"/>
  <c r="CG105" i="89"/>
  <c r="CF105" i="89" s="1"/>
  <c r="CU90" i="89"/>
  <c r="CH90" i="89"/>
  <c r="CH105" i="89"/>
  <c r="CT99" i="89"/>
  <c r="CS89" i="89"/>
  <c r="CS85" i="89"/>
  <c r="CS105" i="89"/>
  <c r="CS90" i="89"/>
  <c r="CU143" i="89"/>
  <c r="CS145" i="89"/>
  <c r="CT139" i="89"/>
  <c r="CS135" i="89"/>
  <c r="CJ43" i="82"/>
  <c r="CS43" i="82" s="1"/>
  <c r="CW43" i="82" s="1"/>
  <c r="CV149" i="82"/>
  <c r="CQ149" i="82"/>
  <c r="CG152" i="82"/>
  <c r="CF152" i="82" s="1"/>
  <c r="CR136" i="82"/>
  <c r="CR219" i="82"/>
  <c r="CS151" i="82"/>
  <c r="CW151" i="82" s="1"/>
  <c r="CQ143" i="82"/>
  <c r="CR134" i="82"/>
  <c r="CG151" i="82"/>
  <c r="CF151" i="82" s="1"/>
  <c r="CR149" i="82"/>
  <c r="CQ152" i="82"/>
  <c r="CV152" i="82"/>
  <c r="CG134" i="82"/>
  <c r="CF134" i="82" s="1"/>
  <c r="CQ134" i="82"/>
  <c r="CQ136" i="82"/>
  <c r="CQ219" i="82"/>
  <c r="CG219" i="82"/>
  <c r="CF219" i="82" s="1"/>
  <c r="CV151" i="82"/>
  <c r="CS149" i="82"/>
  <c r="CW149" i="82" s="1"/>
  <c r="CV143" i="82"/>
  <c r="CZ143" i="82" s="1"/>
  <c r="CQ151" i="82"/>
  <c r="CR152" i="82"/>
  <c r="CS134" i="82"/>
  <c r="CW134" i="82" s="1"/>
  <c r="CS219" i="82"/>
  <c r="CW219" i="82" s="1"/>
  <c r="CV196" i="82"/>
  <c r="CZ196" i="82" s="1"/>
  <c r="CQ158" i="82"/>
  <c r="CG158" i="82"/>
  <c r="CF158" i="82" s="1"/>
  <c r="CR142" i="82"/>
  <c r="CR201" i="82"/>
  <c r="CV221" i="82"/>
  <c r="CQ203" i="82"/>
  <c r="CV204" i="82"/>
  <c r="CZ204" i="82" s="1"/>
  <c r="CS158" i="82"/>
  <c r="CW158" i="82" s="1"/>
  <c r="CS221" i="82"/>
  <c r="CW221" i="82" s="1"/>
  <c r="CV213" i="82"/>
  <c r="CV202" i="82"/>
  <c r="CZ202" i="82" s="1"/>
  <c r="CR203" i="82"/>
  <c r="CR213" i="82"/>
  <c r="CQ214" i="82"/>
  <c r="CQ212" i="82"/>
  <c r="CG214" i="82"/>
  <c r="CF214" i="82" s="1"/>
  <c r="CR212" i="82"/>
  <c r="CR135" i="82"/>
  <c r="CV154" i="82"/>
  <c r="CV140" i="82"/>
  <c r="CZ140" i="82" s="1"/>
  <c r="CQ144" i="82"/>
  <c r="CV214" i="82"/>
  <c r="CR202" i="82"/>
  <c r="CS212" i="82"/>
  <c r="CW212" i="82" s="1"/>
  <c r="CZ212" i="82" s="1"/>
  <c r="CR221" i="82"/>
  <c r="CS213" i="82"/>
  <c r="CW213" i="82" s="1"/>
  <c r="CR204" i="82"/>
  <c r="CQ154" i="82"/>
  <c r="CQ150" i="82"/>
  <c r="CR154" i="82"/>
  <c r="CV201" i="82"/>
  <c r="CZ201" i="82" s="1"/>
  <c r="CQ221" i="82"/>
  <c r="CQ213" i="82"/>
  <c r="CV150" i="82"/>
  <c r="CV205" i="82"/>
  <c r="CQ205" i="82"/>
  <c r="CQ194" i="82"/>
  <c r="CR150" i="82"/>
  <c r="CV200" i="82"/>
  <c r="CZ200" i="82" s="1"/>
  <c r="CV198" i="82"/>
  <c r="CZ198" i="82" s="1"/>
  <c r="CS150" i="82"/>
  <c r="CW150" i="82" s="1"/>
  <c r="CS154" i="82"/>
  <c r="CW154" i="82" s="1"/>
  <c r="CR197" i="82"/>
  <c r="CR198" i="82"/>
  <c r="CQ197" i="82"/>
  <c r="CQ200" i="82"/>
  <c r="CQ199" i="82"/>
  <c r="CV199" i="82"/>
  <c r="CZ199" i="82" s="1"/>
  <c r="CJ93" i="82"/>
  <c r="CS93" i="82" s="1"/>
  <c r="CW93" i="82" s="1"/>
  <c r="CJ101" i="82"/>
  <c r="CV101" i="82" s="1"/>
  <c r="CJ85" i="82"/>
  <c r="CV85" i="82" s="1"/>
  <c r="CJ106" i="82"/>
  <c r="CQ106" i="82" s="1"/>
  <c r="CJ107" i="82"/>
  <c r="CR107" i="82" s="1"/>
  <c r="CJ102" i="82"/>
  <c r="CQ102" i="82" s="1"/>
  <c r="CJ86" i="82"/>
  <c r="CV193" i="82"/>
  <c r="CZ193" i="82" s="1"/>
  <c r="CR193" i="82"/>
  <c r="CR194" i="82"/>
  <c r="CJ48" i="82"/>
  <c r="CQ48" i="82" s="1"/>
  <c r="CS220" i="87"/>
  <c r="CS156" i="87"/>
  <c r="CS221" i="87"/>
  <c r="CS210" i="87"/>
  <c r="CS148" i="87"/>
  <c r="CS159" i="87"/>
  <c r="CP201" i="87"/>
  <c r="CS201" i="87" s="1"/>
  <c r="CS149" i="87"/>
  <c r="CP136" i="87"/>
  <c r="CS136" i="87" s="1"/>
  <c r="CP146" i="87"/>
  <c r="CS146" i="87" s="1"/>
  <c r="CF204" i="87"/>
  <c r="CP204" i="87" s="1"/>
  <c r="CF202" i="87"/>
  <c r="CP202" i="87" s="1"/>
  <c r="CS202" i="87" s="1"/>
  <c r="CF194" i="87"/>
  <c r="CP194" i="87" s="1"/>
  <c r="CF140" i="87"/>
  <c r="CP140" i="87" s="1"/>
  <c r="CS140" i="87" s="1"/>
  <c r="CF139" i="87"/>
  <c r="CP139" i="87" s="1"/>
  <c r="CS154" i="87"/>
  <c r="CF205" i="87"/>
  <c r="CP205" i="87" s="1"/>
  <c r="CS205" i="87" s="1"/>
  <c r="CF143" i="87"/>
  <c r="CP143" i="87" s="1"/>
  <c r="CS143" i="87" s="1"/>
  <c r="CS162" i="87"/>
  <c r="CS207" i="87"/>
  <c r="CS212" i="87"/>
  <c r="CF141" i="87"/>
  <c r="CP141" i="87" s="1"/>
  <c r="CS141" i="87" s="1"/>
  <c r="CS151" i="87"/>
  <c r="CS160" i="87"/>
  <c r="CS216" i="87"/>
  <c r="CS192" i="87"/>
  <c r="CK163" i="87"/>
  <c r="CF132" i="87"/>
  <c r="CP132" i="87" s="1"/>
  <c r="CS132" i="87" s="1"/>
  <c r="CP196" i="87"/>
  <c r="CS196" i="87" s="1"/>
  <c r="CS211" i="87"/>
  <c r="CS217" i="87"/>
  <c r="CS153" i="87"/>
  <c r="CS208" i="87"/>
  <c r="CS155" i="87"/>
  <c r="CS219" i="87"/>
  <c r="CF197" i="87"/>
  <c r="CS214" i="87"/>
  <c r="CF135" i="87"/>
  <c r="CP135" i="87" s="1"/>
  <c r="CS135" i="87" s="1"/>
  <c r="CK223" i="87"/>
  <c r="CS161" i="87"/>
  <c r="CS203" i="87"/>
  <c r="CS218" i="87"/>
  <c r="CS152" i="87"/>
  <c r="CP200" i="87"/>
  <c r="CS200" i="87" s="1"/>
  <c r="CF195" i="87"/>
  <c r="CP195" i="87" s="1"/>
  <c r="CS209" i="87"/>
  <c r="CS222" i="87"/>
  <c r="CF133" i="87"/>
  <c r="CP133" i="87" s="1"/>
  <c r="CS133" i="87" s="1"/>
  <c r="CF145" i="87"/>
  <c r="CP145" i="87" s="1"/>
  <c r="CS145" i="87" s="1"/>
  <c r="CF137" i="87"/>
  <c r="CP137" i="87" s="1"/>
  <c r="CS157" i="87"/>
  <c r="CS158" i="87"/>
  <c r="CP206" i="87"/>
  <c r="CS206" i="87" s="1"/>
  <c r="CS213" i="87"/>
  <c r="CP138" i="87"/>
  <c r="CS138" i="87" s="1"/>
  <c r="CP142" i="87"/>
  <c r="CS142" i="87" s="1"/>
  <c r="CF144" i="87"/>
  <c r="CP144" i="87" s="1"/>
  <c r="CS144" i="87" s="1"/>
  <c r="CF199" i="87"/>
  <c r="CP199" i="87" s="1"/>
  <c r="CS199" i="87" s="1"/>
  <c r="CF134" i="87"/>
  <c r="CP134" i="87" s="1"/>
  <c r="CS134" i="87" s="1"/>
  <c r="CS147" i="87"/>
  <c r="CS103" i="87"/>
  <c r="CU89" i="89"/>
  <c r="CH140" i="89"/>
  <c r="CU135" i="89"/>
  <c r="CH137" i="89"/>
  <c r="CG138" i="89"/>
  <c r="CF138" i="89" s="1"/>
  <c r="CT138" i="89" s="1"/>
  <c r="CX138" i="89" s="1"/>
  <c r="CH138" i="89"/>
  <c r="CS138" i="89"/>
  <c r="CU145" i="89"/>
  <c r="CH141" i="89"/>
  <c r="CU141" i="89" s="1"/>
  <c r="CS141" i="89"/>
  <c r="CT141" i="89"/>
  <c r="CU133" i="89"/>
  <c r="CH134" i="89"/>
  <c r="CG134" i="89"/>
  <c r="CF134" i="89" s="1"/>
  <c r="CS139" i="89"/>
  <c r="CS134" i="89"/>
  <c r="CH133" i="89"/>
  <c r="CS133" i="89"/>
  <c r="CQ195" i="82"/>
  <c r="CS205" i="82"/>
  <c r="CW205" i="82" s="1"/>
  <c r="CR192" i="82"/>
  <c r="CR196" i="82"/>
  <c r="CZ197" i="82"/>
  <c r="CQ192" i="82"/>
  <c r="CR94" i="82"/>
  <c r="CS94" i="82"/>
  <c r="CW94" i="82" s="1"/>
  <c r="CN64" i="82"/>
  <c r="CJ89" i="82"/>
  <c r="CQ89" i="82" s="1"/>
  <c r="CJ105" i="82"/>
  <c r="CV105" i="82" s="1"/>
  <c r="CJ87" i="82"/>
  <c r="CR87" i="82" s="1"/>
  <c r="CJ81" i="82"/>
  <c r="CS81" i="82" s="1"/>
  <c r="CW81" i="82" s="1"/>
  <c r="CJ79" i="82"/>
  <c r="CJ90" i="82"/>
  <c r="CJ84" i="82"/>
  <c r="CQ84" i="82" s="1"/>
  <c r="CJ97" i="82"/>
  <c r="CV97" i="82" s="1"/>
  <c r="CJ78" i="82"/>
  <c r="CQ78" i="82" s="1"/>
  <c r="CJ100" i="82"/>
  <c r="CV100" i="82" s="1"/>
  <c r="CJ104" i="82"/>
  <c r="CS104" i="82" s="1"/>
  <c r="CW104" i="82" s="1"/>
  <c r="CJ83" i="82"/>
  <c r="CJ82" i="82"/>
  <c r="CR82" i="82" s="1"/>
  <c r="CJ96" i="82"/>
  <c r="CR96" i="82" s="1"/>
  <c r="CJ98" i="82"/>
  <c r="CQ98" i="82" s="1"/>
  <c r="CK66" i="82"/>
  <c r="CN67" i="82" s="1"/>
  <c r="CJ99" i="82"/>
  <c r="CV99" i="82" s="1"/>
  <c r="CJ80" i="82"/>
  <c r="CQ80" i="82" s="1"/>
  <c r="CJ103" i="82"/>
  <c r="CG103" i="82" s="1"/>
  <c r="CF103" i="82" s="1"/>
  <c r="CZ144" i="82"/>
  <c r="CZ209" i="82"/>
  <c r="CZ192" i="82"/>
  <c r="CZ211" i="82"/>
  <c r="CZ207" i="82"/>
  <c r="CJ29" i="82"/>
  <c r="CV29" i="82" s="1"/>
  <c r="CJ32" i="82"/>
  <c r="CR32" i="82" s="1"/>
  <c r="CJ22" i="82"/>
  <c r="CV22" i="82" s="1"/>
  <c r="CJ24" i="82"/>
  <c r="CS24" i="82" s="1"/>
  <c r="CW24" i="82" s="1"/>
  <c r="CJ39" i="82"/>
  <c r="CQ39" i="82" s="1"/>
  <c r="CJ37" i="82"/>
  <c r="CR37" i="82" s="1"/>
  <c r="CJ21" i="82"/>
  <c r="CQ21" i="82" s="1"/>
  <c r="CJ41" i="82"/>
  <c r="CR41" i="82" s="1"/>
  <c r="CJ42" i="82"/>
  <c r="CQ42" i="82" s="1"/>
  <c r="CJ23" i="82"/>
  <c r="CV23" i="82" s="1"/>
  <c r="CJ19" i="82"/>
  <c r="CJ18" i="82"/>
  <c r="CJ38" i="82"/>
  <c r="CE67" i="82"/>
  <c r="CJ88" i="82"/>
  <c r="CJ95" i="82"/>
  <c r="CJ77" i="82"/>
  <c r="CJ91" i="82"/>
  <c r="CJ92" i="82"/>
  <c r="CK7" i="82"/>
  <c r="CN8" i="82" s="1"/>
  <c r="CJ46" i="82"/>
  <c r="CQ46" i="82" s="1"/>
  <c r="CJ28" i="82"/>
  <c r="CV28" i="82" s="1"/>
  <c r="CJ34" i="82"/>
  <c r="CS34" i="82" s="1"/>
  <c r="CW34" i="82" s="1"/>
  <c r="CJ36" i="82"/>
  <c r="CR36" i="82" s="1"/>
  <c r="CJ30" i="82"/>
  <c r="CV30" i="82" s="1"/>
  <c r="CJ35" i="82"/>
  <c r="CV35" i="82" s="1"/>
  <c r="CJ27" i="82"/>
  <c r="CJ47" i="82"/>
  <c r="CJ20" i="82"/>
  <c r="CQ20" i="82" s="1"/>
  <c r="CJ44" i="82"/>
  <c r="CQ44" i="82" s="1"/>
  <c r="CJ25" i="82"/>
  <c r="CV25" i="82" s="1"/>
  <c r="CJ45" i="82"/>
  <c r="CQ45" i="82" s="1"/>
  <c r="CJ31" i="82"/>
  <c r="CQ31" i="82" s="1"/>
  <c r="CN5" i="82"/>
  <c r="CJ33" i="82"/>
  <c r="CJ26" i="82"/>
  <c r="CJ40" i="82"/>
  <c r="CF172" i="85"/>
  <c r="CS93" i="87"/>
  <c r="CS99" i="87"/>
  <c r="CS104" i="87"/>
  <c r="CP79" i="87"/>
  <c r="CS79" i="87" s="1"/>
  <c r="CS45" i="87"/>
  <c r="CS44" i="87"/>
  <c r="CS98" i="87"/>
  <c r="CS106" i="87"/>
  <c r="CP85" i="87"/>
  <c r="CS85" i="87" s="1"/>
  <c r="CP78" i="87"/>
  <c r="CS78" i="87" s="1"/>
  <c r="CS101" i="87"/>
  <c r="CP19" i="87"/>
  <c r="CS19" i="87" s="1"/>
  <c r="CS48" i="87"/>
  <c r="CS35" i="87"/>
  <c r="CP87" i="87"/>
  <c r="CS87" i="87" s="1"/>
  <c r="CS92" i="87"/>
  <c r="CP80" i="87"/>
  <c r="CS80" i="87" s="1"/>
  <c r="CS96" i="87"/>
  <c r="CP82" i="87"/>
  <c r="CS82" i="87" s="1"/>
  <c r="CS90" i="87"/>
  <c r="CS46" i="87"/>
  <c r="CP30" i="87"/>
  <c r="CS38" i="87"/>
  <c r="CS43" i="87"/>
  <c r="CS97" i="87"/>
  <c r="CS91" i="87"/>
  <c r="CP89" i="87"/>
  <c r="CS89" i="87" s="1"/>
  <c r="CP86" i="87"/>
  <c r="CS86" i="87" s="1"/>
  <c r="CP77" i="87"/>
  <c r="CS77" i="87" s="1"/>
  <c r="CP23" i="87"/>
  <c r="CS23" i="87" s="1"/>
  <c r="CS34" i="87"/>
  <c r="CP20" i="87"/>
  <c r="CS20" i="87" s="1"/>
  <c r="CS39" i="87"/>
  <c r="CP21" i="87"/>
  <c r="CS21" i="87" s="1"/>
  <c r="CP88" i="87"/>
  <c r="CS88" i="87" s="1"/>
  <c r="CP81" i="87"/>
  <c r="CS81" i="87" s="1"/>
  <c r="CS95" i="87"/>
  <c r="CS107" i="87"/>
  <c r="CS105" i="87"/>
  <c r="CP84" i="87"/>
  <c r="CS84" i="87" s="1"/>
  <c r="CP83" i="87"/>
  <c r="CS83" i="87" s="1"/>
  <c r="CS100" i="87"/>
  <c r="CS102" i="87"/>
  <c r="CS94" i="87"/>
  <c r="CP25" i="87"/>
  <c r="CS25" i="87" s="1"/>
  <c r="CS47" i="87"/>
  <c r="CP18" i="87"/>
  <c r="CS18" i="87" s="1"/>
  <c r="CS32" i="87"/>
  <c r="CP27" i="87"/>
  <c r="CS27" i="87" s="1"/>
  <c r="CP28" i="87"/>
  <c r="CS28" i="87" s="1"/>
  <c r="CP22" i="87"/>
  <c r="CS22" i="87" s="1"/>
  <c r="CP29" i="87"/>
  <c r="CS29" i="87" s="1"/>
  <c r="CS31" i="87"/>
  <c r="CS30" i="87"/>
  <c r="CS40" i="87"/>
  <c r="CS42" i="87"/>
  <c r="CS36" i="87"/>
  <c r="CS37" i="87"/>
  <c r="CS41" i="87"/>
  <c r="CS33" i="87"/>
  <c r="CP24" i="87"/>
  <c r="CS24" i="87" s="1"/>
  <c r="CP26" i="87"/>
  <c r="CS26" i="87" s="1"/>
  <c r="CS193" i="89"/>
  <c r="CU193" i="89"/>
  <c r="CG193" i="89"/>
  <c r="CF193" i="89" s="1"/>
  <c r="CH193" i="89"/>
  <c r="CU192" i="89"/>
  <c r="CS192" i="89"/>
  <c r="CG192" i="89"/>
  <c r="CF192" i="89" s="1"/>
  <c r="CU194" i="89"/>
  <c r="CS194" i="89"/>
  <c r="CG194" i="89"/>
  <c r="CF194" i="89" s="1"/>
  <c r="CU214" i="89"/>
  <c r="CS214" i="89"/>
  <c r="CT214" i="89"/>
  <c r="CG214" i="89"/>
  <c r="CF214" i="89" s="1"/>
  <c r="CU216" i="89"/>
  <c r="CS216" i="89"/>
  <c r="CT216" i="89"/>
  <c r="CG216" i="89"/>
  <c r="CF216" i="89" s="1"/>
  <c r="CS213" i="89"/>
  <c r="CU213" i="89"/>
  <c r="CT213" i="89"/>
  <c r="CG213" i="89"/>
  <c r="CF213" i="89" s="1"/>
  <c r="CU218" i="89"/>
  <c r="CG218" i="89"/>
  <c r="CF218" i="89" s="1"/>
  <c r="CS218" i="89"/>
  <c r="CT218" i="89"/>
  <c r="CU198" i="89"/>
  <c r="CS198" i="89"/>
  <c r="CG198" i="89"/>
  <c r="CF198" i="89" s="1"/>
  <c r="CH214" i="89"/>
  <c r="CS201" i="89"/>
  <c r="CG201" i="89"/>
  <c r="CF201" i="89" s="1"/>
  <c r="CS202" i="89"/>
  <c r="CG202" i="89"/>
  <c r="CF202" i="89" s="1"/>
  <c r="CU200" i="89"/>
  <c r="CS200" i="89"/>
  <c r="CG200" i="89"/>
  <c r="CF200" i="89" s="1"/>
  <c r="CH194" i="89"/>
  <c r="CS222" i="89"/>
  <c r="CU222" i="89"/>
  <c r="CG222" i="89"/>
  <c r="CF222" i="89" s="1"/>
  <c r="CT222" i="89"/>
  <c r="CU208" i="89"/>
  <c r="CS208" i="89"/>
  <c r="CG208" i="89"/>
  <c r="CF208" i="89" s="1"/>
  <c r="CT208" i="89"/>
  <c r="CS219" i="89"/>
  <c r="CU219" i="89"/>
  <c r="CT219" i="89"/>
  <c r="CG219" i="89"/>
  <c r="CF219" i="89" s="1"/>
  <c r="CU196" i="89"/>
  <c r="CS196" i="89"/>
  <c r="CG196" i="89"/>
  <c r="CF196" i="89" s="1"/>
  <c r="CT196" i="89" s="1"/>
  <c r="CH213" i="89"/>
  <c r="CU206" i="89"/>
  <c r="CS206" i="89"/>
  <c r="CG206" i="89"/>
  <c r="CF206" i="89" s="1"/>
  <c r="CS195" i="89"/>
  <c r="CU195" i="89"/>
  <c r="CG195" i="89"/>
  <c r="CF195" i="89" s="1"/>
  <c r="CH195" i="89"/>
  <c r="CS197" i="89"/>
  <c r="CU197" i="89"/>
  <c r="CG197" i="89"/>
  <c r="CF197" i="89" s="1"/>
  <c r="CH197" i="89"/>
  <c r="CH192" i="89"/>
  <c r="CS220" i="89"/>
  <c r="CU220" i="89"/>
  <c r="CG220" i="89"/>
  <c r="CF220" i="89" s="1"/>
  <c r="CT220" i="89"/>
  <c r="CU212" i="89"/>
  <c r="CS212" i="89"/>
  <c r="CG212" i="89"/>
  <c r="CF212" i="89" s="1"/>
  <c r="CT212" i="89"/>
  <c r="CS217" i="89"/>
  <c r="CU217" i="89"/>
  <c r="CG217" i="89"/>
  <c r="CF217" i="89" s="1"/>
  <c r="CT217" i="89"/>
  <c r="CS215" i="89"/>
  <c r="CU215" i="89"/>
  <c r="CT215" i="89"/>
  <c r="CG215" i="89"/>
  <c r="CF215" i="89" s="1"/>
  <c r="CS199" i="89"/>
  <c r="CU199" i="89"/>
  <c r="CG199" i="89"/>
  <c r="CF199" i="89" s="1"/>
  <c r="CH199" i="89"/>
  <c r="CT137" i="89"/>
  <c r="CX137" i="89" s="1"/>
  <c r="CU204" i="89"/>
  <c r="CS204" i="89"/>
  <c r="CG204" i="89"/>
  <c r="CF204" i="89" s="1"/>
  <c r="CH201" i="89"/>
  <c r="CU201" i="89" s="1"/>
  <c r="CS203" i="89"/>
  <c r="CU203" i="89"/>
  <c r="CG203" i="89"/>
  <c r="CF203" i="89" s="1"/>
  <c r="CM223" i="89"/>
  <c r="CS205" i="89"/>
  <c r="CU205" i="89"/>
  <c r="CG205" i="89"/>
  <c r="CF205" i="89" s="1"/>
  <c r="CU210" i="89"/>
  <c r="CS210" i="89"/>
  <c r="CT210" i="89"/>
  <c r="CG210" i="89"/>
  <c r="CF210" i="89" s="1"/>
  <c r="CU221" i="89"/>
  <c r="CS221" i="89"/>
  <c r="CT221" i="89"/>
  <c r="CG221" i="89"/>
  <c r="CF221" i="89" s="1"/>
  <c r="CS209" i="89"/>
  <c r="CU209" i="89"/>
  <c r="CT209" i="89"/>
  <c r="CG209" i="89"/>
  <c r="CF209" i="89" s="1"/>
  <c r="CS211" i="89"/>
  <c r="CU211" i="89"/>
  <c r="CT211" i="89"/>
  <c r="CG211" i="89"/>
  <c r="CF211" i="89" s="1"/>
  <c r="CS207" i="89"/>
  <c r="CU207" i="89"/>
  <c r="CT207" i="89"/>
  <c r="CG207" i="89"/>
  <c r="CF207" i="89" s="1"/>
  <c r="CH202" i="89"/>
  <c r="CU202" i="89" s="1"/>
  <c r="CM163" i="89"/>
  <c r="CS150" i="89"/>
  <c r="CU150" i="89"/>
  <c r="CG150" i="89"/>
  <c r="CF150" i="89" s="1"/>
  <c r="CT150" i="89"/>
  <c r="CU162" i="89"/>
  <c r="CS162" i="89"/>
  <c r="CG162" i="89"/>
  <c r="CF162" i="89" s="1"/>
  <c r="CT162" i="89"/>
  <c r="CU149" i="89"/>
  <c r="CS149" i="89"/>
  <c r="CG149" i="89"/>
  <c r="CF149" i="89" s="1"/>
  <c r="CT149" i="89"/>
  <c r="CH149" i="89"/>
  <c r="CT145" i="89"/>
  <c r="CS161" i="89"/>
  <c r="CU161" i="89"/>
  <c r="CG161" i="89"/>
  <c r="CF161" i="89" s="1"/>
  <c r="CT161" i="89"/>
  <c r="CU144" i="89"/>
  <c r="CS144" i="89"/>
  <c r="CG144" i="89"/>
  <c r="CF144" i="89" s="1"/>
  <c r="CU153" i="89"/>
  <c r="CS153" i="89"/>
  <c r="CT153" i="89"/>
  <c r="CG153" i="89"/>
  <c r="CF153" i="89" s="1"/>
  <c r="CU157" i="89"/>
  <c r="CS157" i="89"/>
  <c r="CG157" i="89"/>
  <c r="CF157" i="89" s="1"/>
  <c r="CT157" i="89"/>
  <c r="CS159" i="89"/>
  <c r="CU159" i="89"/>
  <c r="CT159" i="89"/>
  <c r="CG159" i="89"/>
  <c r="CF159" i="89" s="1"/>
  <c r="CS152" i="89"/>
  <c r="CU152" i="89"/>
  <c r="CT152" i="89"/>
  <c r="CG152" i="89"/>
  <c r="CF152" i="89" s="1"/>
  <c r="CU132" i="89"/>
  <c r="CS132" i="89"/>
  <c r="CG132" i="89"/>
  <c r="CF132" i="89" s="1"/>
  <c r="CT133" i="89"/>
  <c r="CX147" i="89"/>
  <c r="CS156" i="89"/>
  <c r="CU156" i="89"/>
  <c r="CG156" i="89"/>
  <c r="CF156" i="89" s="1"/>
  <c r="CT156" i="89"/>
  <c r="CH132" i="89"/>
  <c r="CU146" i="89"/>
  <c r="CS146" i="89"/>
  <c r="CG146" i="89"/>
  <c r="CF146" i="89" s="1"/>
  <c r="CT142" i="89"/>
  <c r="CX142" i="89" s="1"/>
  <c r="CT143" i="89"/>
  <c r="CX139" i="89"/>
  <c r="CT140" i="89"/>
  <c r="CS148" i="89"/>
  <c r="CU148" i="89"/>
  <c r="CT148" i="89"/>
  <c r="CG148" i="89"/>
  <c r="CF148" i="89" s="1"/>
  <c r="CU160" i="89"/>
  <c r="CS160" i="89"/>
  <c r="CG160" i="89"/>
  <c r="CF160" i="89" s="1"/>
  <c r="CT160" i="89"/>
  <c r="CS154" i="89"/>
  <c r="CU154" i="89"/>
  <c r="CG154" i="89"/>
  <c r="CF154" i="89" s="1"/>
  <c r="CT154" i="89"/>
  <c r="CT87" i="89"/>
  <c r="CU136" i="89"/>
  <c r="CS136" i="89"/>
  <c r="CG136" i="89"/>
  <c r="CF136" i="89" s="1"/>
  <c r="CH154" i="89"/>
  <c r="CH161" i="89"/>
  <c r="CH148" i="89"/>
  <c r="CH156" i="89"/>
  <c r="CH150" i="89"/>
  <c r="CU155" i="89"/>
  <c r="CS155" i="89"/>
  <c r="CG155" i="89"/>
  <c r="CF155" i="89" s="1"/>
  <c r="CT155" i="89"/>
  <c r="CU151" i="89"/>
  <c r="CS151" i="89"/>
  <c r="CG151" i="89"/>
  <c r="CF151" i="89" s="1"/>
  <c r="CT151" i="89"/>
  <c r="CS158" i="89"/>
  <c r="CU158" i="89"/>
  <c r="CT158" i="89"/>
  <c r="CG158" i="89"/>
  <c r="CF158" i="89" s="1"/>
  <c r="CX101" i="89"/>
  <c r="CX103" i="89"/>
  <c r="CT86" i="89"/>
  <c r="CX96" i="89"/>
  <c r="CT89" i="89"/>
  <c r="CX94" i="89"/>
  <c r="CU48" i="89"/>
  <c r="CS48" i="89"/>
  <c r="CG48" i="89"/>
  <c r="CF48" i="89" s="1"/>
  <c r="CT48" i="89"/>
  <c r="CS35" i="89"/>
  <c r="CU35" i="89"/>
  <c r="CT35" i="89"/>
  <c r="CG35" i="89"/>
  <c r="CF35" i="89" s="1"/>
  <c r="CU25" i="89"/>
  <c r="CS25" i="89"/>
  <c r="CG25" i="89"/>
  <c r="CF25" i="89" s="1"/>
  <c r="CH48" i="89"/>
  <c r="CU46" i="89"/>
  <c r="CS46" i="89"/>
  <c r="CG46" i="89"/>
  <c r="CF46" i="89" s="1"/>
  <c r="CT46" i="89"/>
  <c r="CS29" i="89"/>
  <c r="CG29" i="89"/>
  <c r="CF29" i="89" s="1"/>
  <c r="CU21" i="89"/>
  <c r="CS21" i="89"/>
  <c r="CG21" i="89"/>
  <c r="CF21" i="89" s="1"/>
  <c r="CS45" i="89"/>
  <c r="CU45" i="89"/>
  <c r="CT45" i="89"/>
  <c r="CG45" i="89"/>
  <c r="CF45" i="89" s="1"/>
  <c r="CS41" i="89"/>
  <c r="CU41" i="89"/>
  <c r="CG41" i="89"/>
  <c r="CF41" i="89" s="1"/>
  <c r="CT41" i="89"/>
  <c r="CS43" i="89"/>
  <c r="CU43" i="89"/>
  <c r="CT43" i="89"/>
  <c r="CG43" i="89"/>
  <c r="CF43" i="89" s="1"/>
  <c r="CU23" i="89"/>
  <c r="CS23" i="89"/>
  <c r="CG23" i="89"/>
  <c r="CF23" i="89" s="1"/>
  <c r="CU34" i="89"/>
  <c r="CG34" i="89"/>
  <c r="CF34" i="89" s="1"/>
  <c r="CS34" i="89"/>
  <c r="CT34" i="89"/>
  <c r="CS26" i="89"/>
  <c r="CU26" i="89"/>
  <c r="CG26" i="89"/>
  <c r="CF26" i="89" s="1"/>
  <c r="CS18" i="89"/>
  <c r="CU18" i="89"/>
  <c r="CG18" i="89"/>
  <c r="CF18" i="89" s="1"/>
  <c r="CH45" i="89"/>
  <c r="CS37" i="89"/>
  <c r="CU37" i="89"/>
  <c r="CG37" i="89"/>
  <c r="CF37" i="89" s="1"/>
  <c r="CT37" i="89"/>
  <c r="CU33" i="89"/>
  <c r="CS33" i="89"/>
  <c r="CG33" i="89"/>
  <c r="CF33" i="89" s="1"/>
  <c r="CT33" i="89"/>
  <c r="CU42" i="89"/>
  <c r="CS42" i="89"/>
  <c r="CT42" i="89"/>
  <c r="CG42" i="89"/>
  <c r="CF42" i="89" s="1"/>
  <c r="CS30" i="89"/>
  <c r="CG30" i="89"/>
  <c r="CF30" i="89" s="1"/>
  <c r="CS22" i="89"/>
  <c r="CU22" i="89"/>
  <c r="CG22" i="89"/>
  <c r="CF22" i="89" s="1"/>
  <c r="CH35" i="89"/>
  <c r="CH25" i="89"/>
  <c r="CU44" i="89"/>
  <c r="CS44" i="89"/>
  <c r="CT44" i="89"/>
  <c r="CG44" i="89"/>
  <c r="CF44" i="89" s="1"/>
  <c r="CS47" i="89"/>
  <c r="CU47" i="89"/>
  <c r="CG47" i="89"/>
  <c r="CF47" i="89" s="1"/>
  <c r="CT47" i="89"/>
  <c r="CU38" i="89"/>
  <c r="CS38" i="89"/>
  <c r="CT38" i="89"/>
  <c r="CG38" i="89"/>
  <c r="CF38" i="89" s="1"/>
  <c r="CS28" i="89"/>
  <c r="CU28" i="89"/>
  <c r="CG28" i="89"/>
  <c r="CF28" i="89" s="1"/>
  <c r="CS20" i="89"/>
  <c r="CU20" i="89"/>
  <c r="CG20" i="89"/>
  <c r="CF20" i="89" s="1"/>
  <c r="CH20" i="89"/>
  <c r="CH47" i="89"/>
  <c r="CH22" i="89"/>
  <c r="CH30" i="89"/>
  <c r="CU30" i="89" s="1"/>
  <c r="CH37" i="89"/>
  <c r="CU40" i="89"/>
  <c r="CS40" i="89"/>
  <c r="CG40" i="89"/>
  <c r="CF40" i="89" s="1"/>
  <c r="CT40" i="89"/>
  <c r="CU27" i="89"/>
  <c r="CS27" i="89"/>
  <c r="CG27" i="89"/>
  <c r="CF27" i="89" s="1"/>
  <c r="CU36" i="89"/>
  <c r="CG36" i="89"/>
  <c r="CF36" i="89" s="1"/>
  <c r="CS36" i="89"/>
  <c r="CT36" i="89"/>
  <c r="CS39" i="89"/>
  <c r="CU39" i="89"/>
  <c r="CT39" i="89"/>
  <c r="CG39" i="89"/>
  <c r="CF39" i="89" s="1"/>
  <c r="CU19" i="89"/>
  <c r="CS19" i="89"/>
  <c r="CG19" i="89"/>
  <c r="CF19" i="89" s="1"/>
  <c r="CU31" i="89"/>
  <c r="CS31" i="89"/>
  <c r="CG31" i="89"/>
  <c r="CF31" i="89" s="1"/>
  <c r="CT31" i="89"/>
  <c r="CS32" i="89"/>
  <c r="CU32" i="89"/>
  <c r="CG32" i="89"/>
  <c r="CF32" i="89" s="1"/>
  <c r="CT32" i="89"/>
  <c r="CS24" i="89"/>
  <c r="CU24" i="89"/>
  <c r="CG24" i="89"/>
  <c r="CF24" i="89" s="1"/>
  <c r="CH19" i="89"/>
  <c r="CH27" i="89"/>
  <c r="CH31" i="89"/>
  <c r="CH33" i="89"/>
  <c r="CH29" i="89"/>
  <c r="CU29" i="89" s="1"/>
  <c r="CZ194" i="82"/>
  <c r="CZ203" i="82"/>
  <c r="CQ94" i="82"/>
  <c r="CZ220" i="82"/>
  <c r="CV94" i="82"/>
  <c r="CZ132" i="82"/>
  <c r="CZ216" i="82"/>
  <c r="CZ217" i="82"/>
  <c r="CZ195" i="82"/>
  <c r="CG94" i="82"/>
  <c r="CF94" i="82" s="1"/>
  <c r="CZ145" i="82"/>
  <c r="CZ222" i="82"/>
  <c r="CZ218" i="82"/>
  <c r="CZ210" i="82"/>
  <c r="CZ147" i="82"/>
  <c r="CZ138" i="82"/>
  <c r="CZ139" i="82"/>
  <c r="CZ136" i="82"/>
  <c r="CZ146" i="82"/>
  <c r="CZ156" i="82"/>
  <c r="CT81" i="89" l="1"/>
  <c r="CX81" i="89" s="1"/>
  <c r="CT85" i="89"/>
  <c r="CX85" i="89" s="1"/>
  <c r="CX140" i="89"/>
  <c r="CZ160" i="82"/>
  <c r="CX104" i="89"/>
  <c r="CX106" i="89"/>
  <c r="CX86" i="89"/>
  <c r="CX95" i="89"/>
  <c r="CT77" i="89"/>
  <c r="CX77" i="89" s="1"/>
  <c r="CZ155" i="82"/>
  <c r="CT135" i="89"/>
  <c r="CX135" i="89" s="1"/>
  <c r="CZ153" i="82"/>
  <c r="CX98" i="89"/>
  <c r="CZ159" i="82"/>
  <c r="CG87" i="82"/>
  <c r="CF87" i="82" s="1"/>
  <c r="CS101" i="82"/>
  <c r="CW101" i="82" s="1"/>
  <c r="CZ221" i="82"/>
  <c r="CX105" i="89"/>
  <c r="CG43" i="82"/>
  <c r="CF43" i="82" s="1"/>
  <c r="CS96" i="82"/>
  <c r="CW96" i="82" s="1"/>
  <c r="CQ96" i="82"/>
  <c r="CV87" i="82"/>
  <c r="CV96" i="82"/>
  <c r="CG96" i="82"/>
  <c r="CF96" i="82" s="1"/>
  <c r="CR85" i="82"/>
  <c r="CR43" i="82"/>
  <c r="CV43" i="82"/>
  <c r="CQ85" i="82"/>
  <c r="CQ43" i="82"/>
  <c r="CV98" i="82"/>
  <c r="CQ93" i="82"/>
  <c r="CV93" i="82"/>
  <c r="CX107" i="89"/>
  <c r="CZ162" i="82"/>
  <c r="CZ141" i="82"/>
  <c r="CZ157" i="82"/>
  <c r="CZ151" i="82"/>
  <c r="CZ148" i="82"/>
  <c r="CZ134" i="82"/>
  <c r="CZ149" i="82"/>
  <c r="CZ215" i="82"/>
  <c r="CZ213" i="82"/>
  <c r="CZ154" i="82"/>
  <c r="CG107" i="82"/>
  <c r="CF107" i="82" s="1"/>
  <c r="CG39" i="82"/>
  <c r="CF39" i="82" s="1"/>
  <c r="CQ107" i="82"/>
  <c r="CV107" i="82"/>
  <c r="CS39" i="82"/>
  <c r="CW39" i="82" s="1"/>
  <c r="CS107" i="82"/>
  <c r="CW107" i="82" s="1"/>
  <c r="CG93" i="82"/>
  <c r="CF93" i="82" s="1"/>
  <c r="CR93" i="82"/>
  <c r="CS21" i="82"/>
  <c r="CW21" i="82" s="1"/>
  <c r="CZ219" i="82"/>
  <c r="CZ152" i="82"/>
  <c r="CX92" i="89"/>
  <c r="CX145" i="89"/>
  <c r="CX97" i="89"/>
  <c r="CX143" i="89"/>
  <c r="CT205" i="89"/>
  <c r="CX205" i="89" s="1"/>
  <c r="CT80" i="89"/>
  <c r="CX80" i="89" s="1"/>
  <c r="CX99" i="89"/>
  <c r="CT83" i="89"/>
  <c r="CX83" i="89" s="1"/>
  <c r="CX87" i="89"/>
  <c r="CT84" i="89"/>
  <c r="CX84" i="89" s="1"/>
  <c r="CT88" i="89"/>
  <c r="CX88" i="89" s="1"/>
  <c r="CX89" i="89"/>
  <c r="CX90" i="89"/>
  <c r="CX141" i="89"/>
  <c r="CG97" i="82"/>
  <c r="CF97" i="82" s="1"/>
  <c r="CQ101" i="82"/>
  <c r="CG101" i="82"/>
  <c r="CF101" i="82" s="1"/>
  <c r="CS97" i="82"/>
  <c r="CW97" i="82" s="1"/>
  <c r="CV24" i="82"/>
  <c r="CQ97" i="82"/>
  <c r="CR101" i="82"/>
  <c r="CS98" i="82"/>
  <c r="CW98" i="82" s="1"/>
  <c r="CR29" i="82"/>
  <c r="CG102" i="82"/>
  <c r="CF102" i="82" s="1"/>
  <c r="CZ205" i="82"/>
  <c r="CZ214" i="82"/>
  <c r="CZ158" i="82"/>
  <c r="CZ150" i="82"/>
  <c r="CG105" i="82"/>
  <c r="CF105" i="82" s="1"/>
  <c r="CQ105" i="82"/>
  <c r="CV106" i="82"/>
  <c r="CS105" i="82"/>
  <c r="CW105" i="82" s="1"/>
  <c r="CG35" i="82"/>
  <c r="CF35" i="82" s="1"/>
  <c r="CS106" i="82"/>
  <c r="CW106" i="82" s="1"/>
  <c r="CS44" i="82"/>
  <c r="CW44" i="82" s="1"/>
  <c r="CV78" i="82"/>
  <c r="CR105" i="82"/>
  <c r="CG22" i="82"/>
  <c r="CF22" i="82" s="1"/>
  <c r="CR106" i="82"/>
  <c r="CR97" i="82"/>
  <c r="CG85" i="82"/>
  <c r="CF85" i="82" s="1"/>
  <c r="CS85" i="82"/>
  <c r="CW85" i="82" s="1"/>
  <c r="CR80" i="82"/>
  <c r="CG78" i="82"/>
  <c r="CF78" i="82" s="1"/>
  <c r="CQ35" i="82"/>
  <c r="CS78" i="82"/>
  <c r="CW78" i="82" s="1"/>
  <c r="CG106" i="82"/>
  <c r="CF106" i="82" s="1"/>
  <c r="CQ23" i="82"/>
  <c r="CV48" i="82"/>
  <c r="CG25" i="82"/>
  <c r="CF25" i="82" s="1"/>
  <c r="CG42" i="82"/>
  <c r="CF42" i="82" s="1"/>
  <c r="CR23" i="82"/>
  <c r="CR102" i="82"/>
  <c r="CQ86" i="82"/>
  <c r="CS86" i="82"/>
  <c r="CW86" i="82" s="1"/>
  <c r="CG86" i="82"/>
  <c r="CF86" i="82" s="1"/>
  <c r="CS48" i="82"/>
  <c r="CW48" i="82" s="1"/>
  <c r="CS32" i="82"/>
  <c r="CW32" i="82" s="1"/>
  <c r="CR34" i="82"/>
  <c r="CR25" i="82"/>
  <c r="CS102" i="82"/>
  <c r="CW102" i="82" s="1"/>
  <c r="CV102" i="82"/>
  <c r="CR86" i="82"/>
  <c r="CV86" i="82"/>
  <c r="CG29" i="82"/>
  <c r="CF29" i="82" s="1"/>
  <c r="CG48" i="82"/>
  <c r="CF48" i="82" s="1"/>
  <c r="CR48" i="82"/>
  <c r="CQ41" i="82"/>
  <c r="CS22" i="82"/>
  <c r="CW22" i="82" s="1"/>
  <c r="CS29" i="82"/>
  <c r="CW29" i="82" s="1"/>
  <c r="CQ29" i="82"/>
  <c r="CG99" i="82"/>
  <c r="CF99" i="82" s="1"/>
  <c r="CQ104" i="82"/>
  <c r="CV103" i="82"/>
  <c r="CS87" i="82"/>
  <c r="CW87" i="82" s="1"/>
  <c r="CG104" i="82"/>
  <c r="CF104" i="82" s="1"/>
  <c r="CR78" i="82"/>
  <c r="CV81" i="82"/>
  <c r="CR98" i="82"/>
  <c r="CQ87" i="82"/>
  <c r="CS80" i="82"/>
  <c r="CW80" i="82" s="1"/>
  <c r="CV80" i="82"/>
  <c r="CG100" i="82"/>
  <c r="CF100" i="82" s="1"/>
  <c r="CG98" i="82"/>
  <c r="CF98" i="82" s="1"/>
  <c r="CG80" i="82"/>
  <c r="CF80" i="82" s="1"/>
  <c r="CR104" i="82"/>
  <c r="CS100" i="82"/>
  <c r="CW100" i="82" s="1"/>
  <c r="CS20" i="82"/>
  <c r="CW20" i="82" s="1"/>
  <c r="CR81" i="82"/>
  <c r="CG30" i="82"/>
  <c r="CF30" i="82" s="1"/>
  <c r="CR100" i="82"/>
  <c r="CQ100" i="82"/>
  <c r="CQ81" i="82"/>
  <c r="CS139" i="87"/>
  <c r="CS194" i="87"/>
  <c r="CS204" i="87"/>
  <c r="CS137" i="87"/>
  <c r="CS195" i="87"/>
  <c r="CP197" i="87"/>
  <c r="CS197" i="87" s="1"/>
  <c r="CT134" i="89"/>
  <c r="CX134" i="89" s="1"/>
  <c r="CT193" i="89"/>
  <c r="CX193" i="89" s="1"/>
  <c r="CX156" i="89"/>
  <c r="CX133" i="89"/>
  <c r="CX216" i="89"/>
  <c r="CX214" i="89"/>
  <c r="CT194" i="89"/>
  <c r="CX194" i="89" s="1"/>
  <c r="CT136" i="89"/>
  <c r="CX136" i="89" s="1"/>
  <c r="CT132" i="89"/>
  <c r="CX132" i="89" s="1"/>
  <c r="CX153" i="89"/>
  <c r="CX208" i="89"/>
  <c r="CX213" i="89"/>
  <c r="CX217" i="89"/>
  <c r="CT206" i="89"/>
  <c r="CX206" i="89" s="1"/>
  <c r="CT192" i="89"/>
  <c r="CX192" i="89" s="1"/>
  <c r="CR39" i="82"/>
  <c r="CV44" i="82"/>
  <c r="CQ99" i="82"/>
  <c r="CV39" i="82"/>
  <c r="CR44" i="82"/>
  <c r="CG89" i="82"/>
  <c r="CF89" i="82" s="1"/>
  <c r="CS42" i="82"/>
  <c r="CW42" i="82" s="1"/>
  <c r="CG32" i="82"/>
  <c r="CF32" i="82" s="1"/>
  <c r="CG44" i="82"/>
  <c r="CF44" i="82" s="1"/>
  <c r="CS89" i="82"/>
  <c r="CW89" i="82" s="1"/>
  <c r="CQ32" i="82"/>
  <c r="CQ103" i="82"/>
  <c r="CS103" i="82"/>
  <c r="CW103" i="82" s="1"/>
  <c r="CR103" i="82"/>
  <c r="CR83" i="82"/>
  <c r="CV83" i="82"/>
  <c r="CG83" i="82"/>
  <c r="CF83" i="82" s="1"/>
  <c r="CQ83" i="82"/>
  <c r="CS83" i="82"/>
  <c r="CW83" i="82" s="1"/>
  <c r="CS90" i="82"/>
  <c r="CW90" i="82" s="1"/>
  <c r="CG90" i="82"/>
  <c r="CF90" i="82" s="1"/>
  <c r="CV90" i="82"/>
  <c r="CR90" i="82"/>
  <c r="CQ90" i="82"/>
  <c r="CV32" i="82"/>
  <c r="CG28" i="82"/>
  <c r="CF28" i="82" s="1"/>
  <c r="CS36" i="82"/>
  <c r="CW36" i="82" s="1"/>
  <c r="CR89" i="82"/>
  <c r="CG81" i="82"/>
  <c r="CF81" i="82" s="1"/>
  <c r="CR99" i="82"/>
  <c r="CS84" i="82"/>
  <c r="CW84" i="82" s="1"/>
  <c r="CR84" i="82"/>
  <c r="CR79" i="82"/>
  <c r="CV79" i="82"/>
  <c r="CS79" i="82"/>
  <c r="CW79" i="82" s="1"/>
  <c r="CG79" i="82"/>
  <c r="CF79" i="82" s="1"/>
  <c r="CQ79" i="82"/>
  <c r="CQ82" i="82"/>
  <c r="CS82" i="82"/>
  <c r="CW82" i="82" s="1"/>
  <c r="CV89" i="82"/>
  <c r="CS99" i="82"/>
  <c r="CW99" i="82" s="1"/>
  <c r="CR30" i="82"/>
  <c r="CR28" i="82"/>
  <c r="CV45" i="82"/>
  <c r="CZ94" i="82"/>
  <c r="CG84" i="82"/>
  <c r="CF84" i="82" s="1"/>
  <c r="CV82" i="82"/>
  <c r="CG82" i="82"/>
  <c r="CF82" i="82" s="1"/>
  <c r="CV84" i="82"/>
  <c r="CV104" i="82"/>
  <c r="CG37" i="82"/>
  <c r="CF37" i="82" s="1"/>
  <c r="CR45" i="82"/>
  <c r="CG24" i="82"/>
  <c r="CF24" i="82" s="1"/>
  <c r="CR24" i="82"/>
  <c r="CQ37" i="82"/>
  <c r="CQ24" i="82"/>
  <c r="CG41" i="82"/>
  <c r="CF41" i="82" s="1"/>
  <c r="CG36" i="82"/>
  <c r="CF36" i="82" s="1"/>
  <c r="CS37" i="82"/>
  <c r="CW37" i="82" s="1"/>
  <c r="CG45" i="82"/>
  <c r="CF45" i="82" s="1"/>
  <c r="CS41" i="82"/>
  <c r="CW41" i="82" s="1"/>
  <c r="CQ36" i="82"/>
  <c r="CV34" i="82"/>
  <c r="CQ25" i="82"/>
  <c r="CV21" i="82"/>
  <c r="CR22" i="82"/>
  <c r="CQ22" i="82"/>
  <c r="CS25" i="82"/>
  <c r="CW25" i="82" s="1"/>
  <c r="CR21" i="82"/>
  <c r="CQ34" i="82"/>
  <c r="CG21" i="82"/>
  <c r="CF21" i="82" s="1"/>
  <c r="CG34" i="82"/>
  <c r="CF34" i="82" s="1"/>
  <c r="CQ91" i="82"/>
  <c r="CV91" i="82"/>
  <c r="CS91" i="82"/>
  <c r="CW91" i="82" s="1"/>
  <c r="CG91" i="82"/>
  <c r="CF91" i="82" s="1"/>
  <c r="CR91" i="82"/>
  <c r="CS26" i="82"/>
  <c r="CW26" i="82" s="1"/>
  <c r="CG26" i="82"/>
  <c r="CF26" i="82" s="1"/>
  <c r="CQ26" i="82"/>
  <c r="CR26" i="82"/>
  <c r="CV26" i="82"/>
  <c r="CR47" i="82"/>
  <c r="CG47" i="82"/>
  <c r="CF47" i="82" s="1"/>
  <c r="CQ47" i="82"/>
  <c r="CS47" i="82"/>
  <c r="CW47" i="82" s="1"/>
  <c r="CV47" i="82"/>
  <c r="CV46" i="82"/>
  <c r="CG46" i="82"/>
  <c r="CF46" i="82" s="1"/>
  <c r="CR46" i="82"/>
  <c r="CQ77" i="82"/>
  <c r="CR77" i="82"/>
  <c r="CG77" i="82"/>
  <c r="CF77" i="82" s="1"/>
  <c r="CV77" i="82"/>
  <c r="CS77" i="82"/>
  <c r="CW77" i="82" s="1"/>
  <c r="CR38" i="82"/>
  <c r="CQ38" i="82"/>
  <c r="CV38" i="82"/>
  <c r="CS38" i="82"/>
  <c r="CW38" i="82" s="1"/>
  <c r="CG38" i="82"/>
  <c r="CF38" i="82" s="1"/>
  <c r="CS28" i="82"/>
  <c r="CW28" i="82" s="1"/>
  <c r="CV37" i="82"/>
  <c r="CG20" i="82"/>
  <c r="CF20" i="82" s="1"/>
  <c r="CR20" i="82"/>
  <c r="CS45" i="82"/>
  <c r="CW45" i="82" s="1"/>
  <c r="CV41" i="82"/>
  <c r="CV36" i="82"/>
  <c r="CS31" i="82"/>
  <c r="CW31" i="82" s="1"/>
  <c r="CS30" i="82"/>
  <c r="CW30" i="82" s="1"/>
  <c r="CQ33" i="82"/>
  <c r="CR33" i="82"/>
  <c r="CV33" i="82"/>
  <c r="CS33" i="82"/>
  <c r="CW33" i="82" s="1"/>
  <c r="CG33" i="82"/>
  <c r="CF33" i="82" s="1"/>
  <c r="CS27" i="82"/>
  <c r="CW27" i="82" s="1"/>
  <c r="CR27" i="82"/>
  <c r="CG27" i="82"/>
  <c r="CF27" i="82" s="1"/>
  <c r="CV27" i="82"/>
  <c r="CQ27" i="82"/>
  <c r="CS95" i="82"/>
  <c r="CW95" i="82" s="1"/>
  <c r="CQ95" i="82"/>
  <c r="CR95" i="82"/>
  <c r="CG95" i="82"/>
  <c r="CF95" i="82" s="1"/>
  <c r="CV95" i="82"/>
  <c r="CV18" i="82"/>
  <c r="CR18" i="82"/>
  <c r="CG18" i="82"/>
  <c r="CF18" i="82" s="1"/>
  <c r="CS18" i="82"/>
  <c r="CW18" i="82" s="1"/>
  <c r="CQ18" i="82"/>
  <c r="CS23" i="82"/>
  <c r="CW23" i="82" s="1"/>
  <c r="CG23" i="82"/>
  <c r="CF23" i="82" s="1"/>
  <c r="CV40" i="82"/>
  <c r="CS40" i="82"/>
  <c r="CW40" i="82" s="1"/>
  <c r="CG40" i="82"/>
  <c r="CF40" i="82" s="1"/>
  <c r="CQ40" i="82"/>
  <c r="CR40" i="82"/>
  <c r="CR31" i="82"/>
  <c r="CV31" i="82"/>
  <c r="CQ28" i="82"/>
  <c r="CV20" i="82"/>
  <c r="CG31" i="82"/>
  <c r="CF31" i="82" s="1"/>
  <c r="CQ30" i="82"/>
  <c r="CS46" i="82"/>
  <c r="CW46" i="82" s="1"/>
  <c r="CS35" i="82"/>
  <c r="CW35" i="82" s="1"/>
  <c r="CR35" i="82"/>
  <c r="CV92" i="82"/>
  <c r="CR92" i="82"/>
  <c r="CQ92" i="82"/>
  <c r="CS92" i="82"/>
  <c r="CW92" i="82" s="1"/>
  <c r="CG92" i="82"/>
  <c r="CF92" i="82" s="1"/>
  <c r="CV88" i="82"/>
  <c r="CQ88" i="82"/>
  <c r="CG88" i="82"/>
  <c r="CF88" i="82" s="1"/>
  <c r="CR88" i="82"/>
  <c r="CS88" i="82"/>
  <c r="CW88" i="82" s="1"/>
  <c r="CV19" i="82"/>
  <c r="CG19" i="82"/>
  <c r="CF19" i="82" s="1"/>
  <c r="CS19" i="82"/>
  <c r="CW19" i="82" s="1"/>
  <c r="CQ19" i="82"/>
  <c r="CR19" i="82"/>
  <c r="CV42" i="82"/>
  <c r="CR42" i="82"/>
  <c r="CS108" i="87"/>
  <c r="CF62" i="87" s="1"/>
  <c r="CS49" i="87"/>
  <c r="CF3" i="87" s="1"/>
  <c r="CT30" i="89"/>
  <c r="CX30" i="89" s="1"/>
  <c r="CX212" i="89"/>
  <c r="CX220" i="89"/>
  <c r="CX219" i="89"/>
  <c r="CX218" i="89"/>
  <c r="CT29" i="89"/>
  <c r="CX29" i="89" s="1"/>
  <c r="CX207" i="89"/>
  <c r="CX211" i="89"/>
  <c r="CX209" i="89"/>
  <c r="CX221" i="89"/>
  <c r="CX210" i="89"/>
  <c r="CT197" i="89"/>
  <c r="CX197" i="89" s="1"/>
  <c r="CX196" i="89"/>
  <c r="CX222" i="89"/>
  <c r="CT200" i="89"/>
  <c r="CX200" i="89" s="1"/>
  <c r="CT202" i="89"/>
  <c r="CX202" i="89" s="1"/>
  <c r="CT201" i="89"/>
  <c r="CX201" i="89" s="1"/>
  <c r="CX158" i="89"/>
  <c r="CX154" i="89"/>
  <c r="CX161" i="89"/>
  <c r="CT203" i="89"/>
  <c r="CX203" i="89" s="1"/>
  <c r="CT204" i="89"/>
  <c r="CX204" i="89" s="1"/>
  <c r="CT199" i="89"/>
  <c r="CX199" i="89" s="1"/>
  <c r="CX215" i="89"/>
  <c r="CT195" i="89"/>
  <c r="CX195" i="89" s="1"/>
  <c r="CT198" i="89"/>
  <c r="CX198" i="89" s="1"/>
  <c r="CX151" i="89"/>
  <c r="CX155" i="89"/>
  <c r="CX148" i="89"/>
  <c r="CT146" i="89"/>
  <c r="CX146" i="89" s="1"/>
  <c r="CX149" i="89"/>
  <c r="CX162" i="89"/>
  <c r="CX150" i="89"/>
  <c r="CX160" i="89"/>
  <c r="CX152" i="89"/>
  <c r="CX159" i="89"/>
  <c r="CX157" i="89"/>
  <c r="CT144" i="89"/>
  <c r="CX144" i="89" s="1"/>
  <c r="CT24" i="89"/>
  <c r="CX24" i="89" s="1"/>
  <c r="CX43" i="89"/>
  <c r="CX45" i="89"/>
  <c r="CX36" i="89"/>
  <c r="CT26" i="89"/>
  <c r="CX26" i="89" s="1"/>
  <c r="CX35" i="89"/>
  <c r="CX38" i="89"/>
  <c r="CT23" i="89"/>
  <c r="CX23" i="89" s="1"/>
  <c r="CX48" i="89"/>
  <c r="CX39" i="89"/>
  <c r="CT20" i="89"/>
  <c r="CX20" i="89" s="1"/>
  <c r="CT28" i="89"/>
  <c r="CX28" i="89" s="1"/>
  <c r="CX47" i="89"/>
  <c r="CX42" i="89"/>
  <c r="CX34" i="89"/>
  <c r="CX44" i="89"/>
  <c r="CT18" i="89"/>
  <c r="CX18" i="89" s="1"/>
  <c r="CX41" i="89"/>
  <c r="CT25" i="89"/>
  <c r="CX25" i="89" s="1"/>
  <c r="CX32" i="89"/>
  <c r="CX31" i="89"/>
  <c r="CT19" i="89"/>
  <c r="CX19" i="89" s="1"/>
  <c r="CT27" i="89"/>
  <c r="CX27" i="89" s="1"/>
  <c r="CX40" i="89"/>
  <c r="CT22" i="89"/>
  <c r="CX22" i="89" s="1"/>
  <c r="CX33" i="89"/>
  <c r="CX37" i="89"/>
  <c r="CT21" i="89"/>
  <c r="CX21" i="89" s="1"/>
  <c r="CX46" i="89"/>
  <c r="AC11" i="85"/>
  <c r="AC12" i="87"/>
  <c r="AC13" i="89"/>
  <c r="AC13" i="82"/>
  <c r="CZ101" i="82" l="1"/>
  <c r="CZ43" i="82"/>
  <c r="CZ87" i="82"/>
  <c r="CZ96" i="82"/>
  <c r="CZ28" i="82"/>
  <c r="CZ39" i="82"/>
  <c r="CZ22" i="82"/>
  <c r="CZ93" i="82"/>
  <c r="CZ163" i="82"/>
  <c r="CF112" i="82" s="1"/>
  <c r="CZ107" i="82"/>
  <c r="CZ102" i="82"/>
  <c r="CZ99" i="82"/>
  <c r="CZ97" i="82"/>
  <c r="CZ223" i="82"/>
  <c r="CF172" i="82" s="1"/>
  <c r="CS163" i="87"/>
  <c r="CF112" i="87" s="1"/>
  <c r="CX108" i="89"/>
  <c r="CF62" i="89" s="1"/>
  <c r="CZ98" i="82"/>
  <c r="CZ48" i="82"/>
  <c r="CZ24" i="82"/>
  <c r="CZ105" i="82"/>
  <c r="CZ35" i="82"/>
  <c r="CZ78" i="82"/>
  <c r="CZ29" i="82"/>
  <c r="CZ85" i="82"/>
  <c r="CZ106" i="82"/>
  <c r="CZ44" i="82"/>
  <c r="CZ89" i="82"/>
  <c r="CZ100" i="82"/>
  <c r="CZ25" i="82"/>
  <c r="CZ32" i="82"/>
  <c r="CZ90" i="82"/>
  <c r="CZ103" i="82"/>
  <c r="CZ86" i="82"/>
  <c r="CZ104" i="82"/>
  <c r="CZ80" i="82"/>
  <c r="CZ81" i="82"/>
  <c r="CZ30" i="82"/>
  <c r="CZ45" i="82"/>
  <c r="CZ84" i="82"/>
  <c r="CZ42" i="82"/>
  <c r="CZ82" i="82"/>
  <c r="CS223" i="87"/>
  <c r="CF172" i="87" s="1"/>
  <c r="CZ41" i="82"/>
  <c r="CZ21" i="82"/>
  <c r="CZ37" i="82"/>
  <c r="CZ79" i="82"/>
  <c r="CZ83" i="82"/>
  <c r="CZ34" i="82"/>
  <c r="CZ36" i="82"/>
  <c r="CZ31" i="82"/>
  <c r="CZ20" i="82"/>
  <c r="CZ92" i="82"/>
  <c r="CZ23" i="82"/>
  <c r="CZ27" i="82"/>
  <c r="CZ77" i="82"/>
  <c r="CZ18" i="82"/>
  <c r="CZ95" i="82"/>
  <c r="CZ38" i="82"/>
  <c r="CZ47" i="82"/>
  <c r="CZ46" i="82"/>
  <c r="CZ19" i="82"/>
  <c r="CZ88" i="82"/>
  <c r="CZ40" i="82"/>
  <c r="CZ33" i="82"/>
  <c r="CZ26" i="82"/>
  <c r="CZ91" i="82"/>
  <c r="CX223" i="89"/>
  <c r="CF172" i="89" s="1"/>
  <c r="CX163" i="89"/>
  <c r="CF112" i="89" s="1"/>
  <c r="CX49" i="89"/>
  <c r="CF3" i="89" s="1"/>
  <c r="AC38" i="82"/>
  <c r="CZ108" i="82" l="1"/>
  <c r="CF62" i="82" s="1"/>
  <c r="CZ49" i="82"/>
  <c r="CF3" i="82" s="1"/>
  <c r="AX7" i="85"/>
  <c r="AR7" i="85"/>
  <c r="AX7" i="87"/>
  <c r="AR7" i="87"/>
  <c r="AX11" i="89"/>
  <c r="AR11" i="89"/>
  <c r="AX7" i="89"/>
  <c r="AR7" i="89"/>
  <c r="AX36" i="82"/>
  <c r="AX35" i="89" s="1"/>
  <c r="AR36" i="82"/>
  <c r="AR35" i="89" s="1"/>
  <c r="AX32" i="82"/>
  <c r="AR32" i="82"/>
  <c r="AR31" i="89" s="1"/>
  <c r="AR28" i="87" l="1"/>
  <c r="AX28" i="87"/>
  <c r="AX31" i="89"/>
  <c r="AX26" i="85"/>
  <c r="AR26" i="85"/>
  <c r="AI36" i="85"/>
  <c r="AI42" i="87"/>
  <c r="AK25" i="82"/>
  <c r="AK24" i="89" s="1"/>
  <c r="AK24" i="82"/>
  <c r="AK19" i="87" s="1"/>
  <c r="AK23" i="82"/>
  <c r="AK22" i="89" s="1"/>
  <c r="AK22" i="82"/>
  <c r="AK21" i="89" s="1"/>
  <c r="AK9" i="85"/>
  <c r="AK7" i="85"/>
  <c r="AK20" i="87" l="1"/>
  <c r="AK23" i="89"/>
  <c r="AC34" i="85"/>
  <c r="AC15" i="85"/>
  <c r="AC16" i="87"/>
  <c r="AK10" i="87"/>
  <c r="AK9" i="87"/>
  <c r="AK7" i="87"/>
  <c r="AC38" i="87" l="1"/>
  <c r="AI47" i="89"/>
  <c r="AK11" i="89"/>
  <c r="AK10" i="89"/>
  <c r="AK9" i="89"/>
  <c r="AK7" i="89"/>
  <c r="AK36" i="82"/>
  <c r="AK31" i="87" s="1"/>
  <c r="AK35" i="82"/>
  <c r="AK34" i="89" s="1"/>
  <c r="AK34" i="82"/>
  <c r="AK33" i="89" s="1"/>
  <c r="AK32" i="82"/>
  <c r="AK35" i="89" l="1"/>
  <c r="AK26" i="85"/>
  <c r="AK28" i="87"/>
  <c r="AK28" i="85"/>
  <c r="AK30" i="87"/>
  <c r="AK31" i="89"/>
  <c r="AC12" i="85"/>
  <c r="AC13" i="85"/>
  <c r="AC31" i="85" l="1"/>
  <c r="AC41" i="89"/>
  <c r="AC17" i="89"/>
  <c r="AK53" i="82"/>
  <c r="AK52" i="82"/>
  <c r="AK51" i="82"/>
  <c r="AK49" i="89" s="1"/>
  <c r="AK50" i="82"/>
  <c r="AK48" i="89" s="1"/>
  <c r="AK46" i="82"/>
  <c r="AK45" i="82"/>
  <c r="AK44" i="89" s="1"/>
  <c r="AK44" i="82"/>
  <c r="AK43" i="82"/>
  <c r="AK42" i="82"/>
  <c r="AK41" i="89" s="1"/>
  <c r="AK41" i="82"/>
  <c r="AK40" i="82"/>
  <c r="AK39" i="82"/>
  <c r="AK38" i="89" s="1"/>
  <c r="AK38" i="82"/>
  <c r="AK30" i="85" l="1"/>
  <c r="AK33" i="87"/>
  <c r="AK37" i="89"/>
  <c r="AK51" i="89"/>
  <c r="AK44" i="87"/>
  <c r="AK37" i="87"/>
  <c r="AK42" i="89"/>
  <c r="AK40" i="87"/>
  <c r="AK45" i="89"/>
  <c r="AK34" i="85"/>
  <c r="AK39" i="87"/>
  <c r="AK43" i="89"/>
  <c r="AK34" i="87"/>
  <c r="AK39" i="89"/>
  <c r="AK36" i="87"/>
  <c r="AK32" i="85"/>
  <c r="AK40" i="89"/>
  <c r="AK50" i="89"/>
  <c r="AK43" i="87"/>
  <c r="AC30" i="85"/>
  <c r="AC32" i="85"/>
  <c r="AC34" i="87"/>
  <c r="AC13" i="87" l="1"/>
  <c r="AC37" i="89"/>
  <c r="AC35" i="87"/>
  <c r="AK18" i="82"/>
  <c r="AK17" i="82"/>
  <c r="AK17" i="89" s="1"/>
  <c r="AK16" i="82"/>
  <c r="AK15" i="82"/>
  <c r="AK14" i="82"/>
  <c r="AK14" i="89" s="1"/>
  <c r="AK13" i="82"/>
  <c r="AK16" i="89" l="1"/>
  <c r="AK15" i="87"/>
  <c r="AK12" i="87"/>
  <c r="AK13" i="89"/>
  <c r="AK11" i="85"/>
  <c r="AK18" i="89"/>
  <c r="AK16" i="87"/>
  <c r="AK13" i="87"/>
  <c r="AK15" i="89"/>
  <c r="AC36" i="87"/>
  <c r="AC14" i="87"/>
  <c r="AK38" i="85"/>
  <c r="AK37" i="85"/>
  <c r="AK17" i="85"/>
  <c r="AK16" i="85"/>
  <c r="AI30" i="85"/>
  <c r="AI15" i="85"/>
  <c r="AI13" i="85"/>
  <c r="AI11" i="85"/>
  <c r="AI8" i="85"/>
  <c r="AI6" i="85"/>
  <c r="P38" i="85"/>
  <c r="L38" i="85"/>
  <c r="H38" i="85"/>
  <c r="P34" i="85"/>
  <c r="L34" i="85"/>
  <c r="H34" i="85"/>
  <c r="P30" i="85"/>
  <c r="L30" i="85"/>
  <c r="H30" i="85"/>
  <c r="P26" i="85"/>
  <c r="L26" i="85"/>
  <c r="H26" i="85"/>
  <c r="D40" i="85"/>
  <c r="D39" i="85"/>
  <c r="D37" i="85"/>
  <c r="D33" i="85"/>
  <c r="D29" i="85"/>
  <c r="D25" i="85"/>
  <c r="C24" i="85"/>
  <c r="U15" i="85"/>
  <c r="U13" i="85"/>
  <c r="U12" i="85"/>
  <c r="U11" i="85"/>
  <c r="P16" i="85"/>
  <c r="L16" i="85"/>
  <c r="H16" i="85"/>
  <c r="P12" i="85"/>
  <c r="L12" i="85"/>
  <c r="H12" i="85"/>
  <c r="P8" i="85"/>
  <c r="L8" i="85"/>
  <c r="H8" i="85"/>
  <c r="D15" i="85"/>
  <c r="D13" i="85"/>
  <c r="D11" i="85"/>
  <c r="D9" i="85"/>
  <c r="D7" i="85"/>
  <c r="C6" i="85"/>
  <c r="AI33" i="87"/>
  <c r="AI18" i="87"/>
  <c r="AI15" i="87"/>
  <c r="AI12" i="87"/>
  <c r="AI8" i="87"/>
  <c r="AI6" i="87"/>
  <c r="P43" i="87"/>
  <c r="L43" i="87"/>
  <c r="H43" i="87"/>
  <c r="P38" i="87"/>
  <c r="L38" i="87"/>
  <c r="H38" i="87"/>
  <c r="P33" i="87"/>
  <c r="L33" i="87"/>
  <c r="H33" i="87"/>
  <c r="P28" i="87"/>
  <c r="L28" i="87"/>
  <c r="H28" i="87"/>
  <c r="D42" i="87"/>
  <c r="D37" i="87"/>
  <c r="D32" i="87"/>
  <c r="D27" i="87"/>
  <c r="U16" i="87"/>
  <c r="U14" i="87"/>
  <c r="U13" i="87"/>
  <c r="U12" i="87"/>
  <c r="P18" i="87"/>
  <c r="L18" i="87"/>
  <c r="H18" i="87"/>
  <c r="P13" i="87"/>
  <c r="L13" i="87"/>
  <c r="H13" i="87"/>
  <c r="P8" i="87"/>
  <c r="L8" i="87"/>
  <c r="H8" i="87"/>
  <c r="D20" i="87"/>
  <c r="D19" i="87"/>
  <c r="D10" i="87"/>
  <c r="D17" i="87"/>
  <c r="D12" i="87"/>
  <c r="D9" i="87"/>
  <c r="D7" i="87"/>
  <c r="C6" i="87"/>
  <c r="A1" i="87"/>
  <c r="AI37" i="89"/>
  <c r="AI20" i="89"/>
  <c r="AI16" i="89"/>
  <c r="AI13" i="89"/>
  <c r="AI8" i="89"/>
  <c r="AI6" i="89"/>
  <c r="AI44" i="82"/>
  <c r="AI41" i="82"/>
  <c r="AI33" i="82"/>
  <c r="AI31" i="82"/>
  <c r="D48" i="89"/>
  <c r="D42" i="89"/>
  <c r="D36" i="89"/>
  <c r="D30" i="89"/>
  <c r="U17" i="89"/>
  <c r="U15" i="89"/>
  <c r="U14" i="89"/>
  <c r="U13" i="89"/>
  <c r="P49" i="89"/>
  <c r="L49" i="89"/>
  <c r="H49" i="89"/>
  <c r="P43" i="89"/>
  <c r="L43" i="89"/>
  <c r="H43" i="89"/>
  <c r="P37" i="89"/>
  <c r="L37" i="89"/>
  <c r="H37" i="89"/>
  <c r="P31" i="89"/>
  <c r="L31" i="89"/>
  <c r="H31" i="89"/>
  <c r="P20" i="89"/>
  <c r="L20" i="89"/>
  <c r="H20" i="89"/>
  <c r="P14" i="89"/>
  <c r="L14" i="89"/>
  <c r="H14" i="89"/>
  <c r="C29" i="89"/>
  <c r="C30" i="82"/>
  <c r="C26" i="87" s="1"/>
  <c r="U42" i="82"/>
  <c r="U40" i="82"/>
  <c r="U39" i="82"/>
  <c r="U38" i="82"/>
  <c r="D54" i="82"/>
  <c r="D53" i="82"/>
  <c r="D52" i="82"/>
  <c r="D51" i="89" s="1"/>
  <c r="D51" i="82"/>
  <c r="D50" i="89" s="1"/>
  <c r="D47" i="82"/>
  <c r="D46" i="82"/>
  <c r="D45" i="89" s="1"/>
  <c r="D45" i="82"/>
  <c r="D41" i="82"/>
  <c r="D40" i="82"/>
  <c r="D39" i="89" s="1"/>
  <c r="D39" i="82"/>
  <c r="D35" i="82"/>
  <c r="D34" i="82"/>
  <c r="D33" i="89" s="1"/>
  <c r="D33" i="82"/>
  <c r="D17" i="82"/>
  <c r="D16" i="82"/>
  <c r="D15" i="82"/>
  <c r="P50" i="82"/>
  <c r="L50" i="82"/>
  <c r="H50" i="82"/>
  <c r="P44" i="82"/>
  <c r="L44" i="82"/>
  <c r="H44" i="82"/>
  <c r="P38" i="82"/>
  <c r="L38" i="82"/>
  <c r="H38" i="82"/>
  <c r="P32" i="82"/>
  <c r="L32" i="82"/>
  <c r="H32" i="82"/>
  <c r="P20" i="82"/>
  <c r="L20" i="82"/>
  <c r="H20" i="82"/>
  <c r="P14" i="82"/>
  <c r="L14" i="82"/>
  <c r="H14" i="82"/>
  <c r="P8" i="89"/>
  <c r="L8" i="89"/>
  <c r="H8" i="89"/>
  <c r="D24" i="89"/>
  <c r="D23" i="89"/>
  <c r="D22" i="89"/>
  <c r="D21" i="89"/>
  <c r="D19" i="89"/>
  <c r="D13" i="89"/>
  <c r="D11" i="89"/>
  <c r="D10" i="89"/>
  <c r="D9" i="89"/>
  <c r="D7" i="89"/>
  <c r="C6" i="89"/>
  <c r="A1" i="89"/>
  <c r="A1" i="85" s="1"/>
  <c r="AC39" i="89" l="1"/>
  <c r="AC15" i="89"/>
  <c r="D15" i="87"/>
  <c r="D17" i="89"/>
  <c r="D31" i="85"/>
  <c r="D34" i="87"/>
  <c r="D38" i="89"/>
  <c r="D44" i="87"/>
  <c r="D52" i="89"/>
  <c r="AI32" i="85"/>
  <c r="AI36" i="87"/>
  <c r="AI40" i="89"/>
  <c r="D29" i="87"/>
  <c r="D27" i="85"/>
  <c r="D32" i="89"/>
  <c r="D46" i="89"/>
  <c r="D40" i="87"/>
  <c r="D45" i="87"/>
  <c r="D53" i="89"/>
  <c r="AI39" i="87"/>
  <c r="AI34" i="85"/>
  <c r="AI43" i="89"/>
  <c r="D15" i="89"/>
  <c r="D14" i="87"/>
  <c r="D40" i="89"/>
  <c r="D35" i="87"/>
  <c r="AI25" i="85"/>
  <c r="AI27" i="87"/>
  <c r="AI30" i="89"/>
  <c r="AK13" i="85"/>
  <c r="D16" i="89"/>
  <c r="D30" i="87"/>
  <c r="D34" i="89"/>
  <c r="D39" i="87"/>
  <c r="D35" i="85"/>
  <c r="D44" i="89"/>
  <c r="AI27" i="85"/>
  <c r="AI29" i="87"/>
  <c r="AI32" i="89"/>
  <c r="U38" i="87"/>
  <c r="U34" i="85"/>
  <c r="U41" i="89"/>
  <c r="U32" i="85"/>
  <c r="U36" i="87"/>
  <c r="U39" i="89"/>
  <c r="U37" i="89"/>
  <c r="U30" i="85"/>
  <c r="U34" i="87"/>
  <c r="U38" i="89"/>
  <c r="U35" i="87"/>
  <c r="U31" i="85"/>
  <c r="AC38" i="89" l="1"/>
  <c r="AC39" i="82"/>
  <c r="AC14" i="89"/>
  <c r="AC40" i="82" l="1"/>
  <c r="P53" i="89"/>
  <c r="P52" i="89"/>
  <c r="P51" i="89"/>
  <c r="P50" i="89"/>
  <c r="P24" i="89"/>
  <c r="P23" i="89"/>
  <c r="P22" i="89"/>
  <c r="P21" i="89"/>
  <c r="P45" i="87"/>
  <c r="P44" i="87"/>
  <c r="P44" i="89"/>
  <c r="P39" i="87"/>
  <c r="AC14" i="82" l="1"/>
  <c r="AC15" i="82" l="1"/>
  <c r="Y38" i="87"/>
  <c r="Y41" i="89"/>
  <c r="P46" i="89"/>
  <c r="P45" i="89"/>
  <c r="P40" i="89"/>
  <c r="P39" i="89"/>
  <c r="P38" i="89"/>
  <c r="AC36" i="89"/>
  <c r="Y36" i="89"/>
  <c r="P34" i="89"/>
  <c r="P33" i="89"/>
  <c r="P32" i="89"/>
  <c r="P17" i="89"/>
  <c r="P16" i="89"/>
  <c r="Y12" i="89"/>
  <c r="P11" i="89"/>
  <c r="P10" i="89"/>
  <c r="P9" i="89"/>
  <c r="P20" i="87"/>
  <c r="P19" i="87"/>
  <c r="P40" i="87"/>
  <c r="P35" i="87"/>
  <c r="P34" i="87"/>
  <c r="AC33" i="87"/>
  <c r="Y33" i="87"/>
  <c r="P30" i="87"/>
  <c r="P29" i="87"/>
  <c r="P15" i="87"/>
  <c r="Y11" i="87"/>
  <c r="P10" i="87"/>
  <c r="P9" i="87"/>
  <c r="Y16" i="87" l="1"/>
  <c r="P40" i="85"/>
  <c r="P39" i="85"/>
  <c r="P18" i="85"/>
  <c r="P17" i="85"/>
  <c r="P31" i="85"/>
  <c r="AC29" i="85"/>
  <c r="Y29" i="85"/>
  <c r="P27" i="85"/>
  <c r="P13" i="85"/>
  <c r="Y10" i="85"/>
  <c r="P9" i="85"/>
  <c r="Y17" i="89" l="1"/>
  <c r="Y37" i="89"/>
  <c r="P47" i="82"/>
  <c r="P46" i="82"/>
  <c r="Y37" i="82"/>
  <c r="Y34" i="85" l="1"/>
  <c r="Y38" i="89"/>
  <c r="L53" i="6"/>
  <c r="Y15" i="85" l="1"/>
  <c r="Y39" i="89"/>
  <c r="Y11" i="85"/>
  <c r="P41" i="82" l="1"/>
  <c r="P40" i="82"/>
  <c r="P39" i="82"/>
  <c r="P34" i="82"/>
  <c r="P33" i="82"/>
  <c r="P11" i="82"/>
  <c r="P10" i="82"/>
  <c r="P9" i="82"/>
  <c r="Y42" i="82"/>
  <c r="Y12" i="85" l="1"/>
  <c r="Y13" i="85" l="1"/>
  <c r="J53" i="6" l="1"/>
  <c r="Y17" i="82" l="1"/>
  <c r="P14" i="87" l="1"/>
  <c r="P15" i="82"/>
  <c r="P15" i="89"/>
  <c r="Y12" i="87" l="1"/>
  <c r="Y13" i="89"/>
  <c r="P45" i="82"/>
  <c r="P35" i="85"/>
  <c r="Y14" i="89" l="1"/>
  <c r="Y15" i="89" l="1"/>
  <c r="Y14" i="87"/>
  <c r="Y13" i="87"/>
  <c r="Y30" i="85"/>
  <c r="Y31" i="85"/>
  <c r="Y35" i="87" l="1"/>
  <c r="Y34" i="87"/>
  <c r="Y32" i="85"/>
  <c r="Y36" i="87" l="1"/>
  <c r="Y38" i="82" l="1"/>
  <c r="Y39" i="82" l="1"/>
  <c r="Y40" i="82" l="1"/>
  <c r="Y13" i="82" l="1"/>
  <c r="P35" i="82" l="1"/>
  <c r="P16" i="82"/>
  <c r="P17" i="82" l="1"/>
  <c r="Y14" i="82" l="1"/>
  <c r="Y15" i="82" l="1"/>
</calcChain>
</file>

<file path=xl/sharedStrings.xml><?xml version="1.0" encoding="utf-8"?>
<sst xmlns="http://schemas.openxmlformats.org/spreadsheetml/2006/main" count="1561" uniqueCount="382">
  <si>
    <t>CSPF</t>
    <phoneticPr fontId="3"/>
  </si>
  <si>
    <t>P</t>
    <phoneticPr fontId="3"/>
  </si>
  <si>
    <t>CSTL</t>
    <phoneticPr fontId="3"/>
  </si>
  <si>
    <t>CSEC</t>
    <phoneticPr fontId="3"/>
  </si>
  <si>
    <t>Full</t>
    <phoneticPr fontId="3"/>
  </si>
  <si>
    <t>Bin number</t>
    <phoneticPr fontId="3"/>
  </si>
  <si>
    <t>j</t>
    <phoneticPr fontId="3"/>
  </si>
  <si>
    <t>Outdoor Temperature</t>
    <phoneticPr fontId="3"/>
  </si>
  <si>
    <t>Bin hours</t>
    <phoneticPr fontId="3"/>
  </si>
  <si>
    <t>Cooling Load</t>
    <phoneticPr fontId="3"/>
  </si>
  <si>
    <t>part load factor</t>
    <phoneticPr fontId="3"/>
  </si>
  <si>
    <t>Capacity</t>
    <phoneticPr fontId="3"/>
  </si>
  <si>
    <t>min</t>
    <phoneticPr fontId="3"/>
  </si>
  <si>
    <t>Power input</t>
    <phoneticPr fontId="3"/>
  </si>
  <si>
    <t>half</t>
  </si>
  <si>
    <t>W</t>
    <phoneticPr fontId="3"/>
  </si>
  <si>
    <t>EER</t>
    <phoneticPr fontId="3"/>
  </si>
  <si>
    <t>Power Input</t>
    <phoneticPr fontId="3"/>
  </si>
  <si>
    <t>φ</t>
    <phoneticPr fontId="3"/>
  </si>
  <si>
    <t>CD</t>
    <phoneticPr fontId="3"/>
  </si>
  <si>
    <t>Operation factor</t>
  </si>
  <si>
    <t>Regulation No.</t>
    <phoneticPr fontId="3"/>
  </si>
  <si>
    <t>issue year</t>
    <phoneticPr fontId="3"/>
  </si>
  <si>
    <t>International</t>
    <phoneticPr fontId="3"/>
  </si>
  <si>
    <t>Country</t>
    <phoneticPr fontId="3"/>
  </si>
  <si>
    <t>Outdoor
temperature</t>
    <phoneticPr fontId="3"/>
  </si>
  <si>
    <t>j</t>
    <phoneticPr fontId="3"/>
  </si>
  <si>
    <t>Bin hours</t>
    <phoneticPr fontId="3"/>
  </si>
  <si>
    <t>hours</t>
    <phoneticPr fontId="3"/>
  </si>
  <si>
    <t>ISO 16358-1</t>
    <phoneticPr fontId="3"/>
  </si>
  <si>
    <t>CD</t>
    <phoneticPr fontId="3"/>
  </si>
  <si>
    <t>-</t>
    <phoneticPr fontId="3"/>
  </si>
  <si>
    <t>CSPF Data Tabel</t>
    <phoneticPr fontId="3"/>
  </si>
  <si>
    <r>
      <t>t</t>
    </r>
    <r>
      <rPr>
        <vertAlign val="subscript"/>
        <sz val="11"/>
        <rFont val="Arial"/>
        <family val="2"/>
      </rPr>
      <t>o</t>
    </r>
    <phoneticPr fontId="3"/>
  </si>
  <si>
    <r>
      <t>t</t>
    </r>
    <r>
      <rPr>
        <vertAlign val="subscript"/>
        <sz val="11"/>
        <rFont val="Arial"/>
        <family val="2"/>
      </rPr>
      <t>100</t>
    </r>
    <phoneticPr fontId="3"/>
  </si>
  <si>
    <r>
      <t>φ(29)</t>
    </r>
    <r>
      <rPr>
        <sz val="11"/>
        <rFont val="ＭＳ Ｐゴシック"/>
        <family val="3"/>
        <charset val="128"/>
      </rPr>
      <t>←</t>
    </r>
    <r>
      <rPr>
        <sz val="11"/>
        <rFont val="Arial"/>
        <family val="2"/>
      </rPr>
      <t>φ(35)</t>
    </r>
    <phoneticPr fontId="3"/>
  </si>
  <si>
    <r>
      <t>P(29)</t>
    </r>
    <r>
      <rPr>
        <sz val="11"/>
        <rFont val="ＭＳ Ｐゴシック"/>
        <family val="3"/>
        <charset val="128"/>
      </rPr>
      <t>←</t>
    </r>
    <r>
      <rPr>
        <sz val="11"/>
        <rFont val="Arial"/>
        <family val="2"/>
      </rPr>
      <t>P(35)</t>
    </r>
    <phoneticPr fontId="3"/>
  </si>
  <si>
    <r>
      <rPr>
        <sz val="11"/>
        <rFont val="ＭＳ Ｐゴシック"/>
        <family val="3"/>
        <charset val="128"/>
      </rPr>
      <t>℃</t>
    </r>
    <phoneticPr fontId="3"/>
  </si>
  <si>
    <r>
      <t>φ(46)</t>
    </r>
    <r>
      <rPr>
        <sz val="11"/>
        <rFont val="ＭＳ Ｐゴシック"/>
        <family val="3"/>
        <charset val="128"/>
      </rPr>
      <t>←</t>
    </r>
    <r>
      <rPr>
        <sz val="11"/>
        <rFont val="Arial"/>
        <family val="2"/>
      </rPr>
      <t>φ(35)</t>
    </r>
    <phoneticPr fontId="3"/>
  </si>
  <si>
    <r>
      <t>P(46)</t>
    </r>
    <r>
      <rPr>
        <sz val="11"/>
        <rFont val="ＭＳ Ｐゴシック"/>
        <family val="3"/>
        <charset val="128"/>
      </rPr>
      <t>←</t>
    </r>
    <r>
      <rPr>
        <sz val="11"/>
        <rFont val="Arial"/>
        <family val="2"/>
      </rPr>
      <t>P(35)</t>
    </r>
    <phoneticPr fontId="3"/>
  </si>
  <si>
    <t>EER for CSEC</t>
    <phoneticPr fontId="3"/>
  </si>
  <si>
    <t>ISO 16358-1 Amd1 CSPF  CALCULATION TOOL</t>
    <phoneticPr fontId="3"/>
  </si>
  <si>
    <t>Annex F</t>
    <phoneticPr fontId="3"/>
  </si>
  <si>
    <t>Required test</t>
    <phoneticPr fontId="3"/>
  </si>
  <si>
    <t>Measure</t>
    <phoneticPr fontId="3"/>
  </si>
  <si>
    <t>Default</t>
    <phoneticPr fontId="3"/>
  </si>
  <si>
    <t>CUSTOM</t>
    <phoneticPr fontId="3"/>
  </si>
  <si>
    <t>Measure</t>
    <phoneticPr fontId="3"/>
  </si>
  <si>
    <t>Measurement point</t>
    <phoneticPr fontId="3"/>
  </si>
  <si>
    <t>Not Measure</t>
    <phoneticPr fontId="3"/>
  </si>
  <si>
    <t>Full Performance</t>
    <phoneticPr fontId="3"/>
  </si>
  <si>
    <t>Half Performance</t>
    <phoneticPr fontId="3"/>
  </si>
  <si>
    <t>Min Performance</t>
    <phoneticPr fontId="3"/>
  </si>
  <si>
    <t>for Fixed units</t>
    <phoneticPr fontId="3"/>
  </si>
  <si>
    <t>Min Dry Coil</t>
    <phoneticPr fontId="3"/>
  </si>
  <si>
    <t>Min Cyclic</t>
    <phoneticPr fontId="3"/>
  </si>
  <si>
    <t>Half Dry Coil</t>
    <phoneticPr fontId="3"/>
  </si>
  <si>
    <t>Half Cyclic</t>
    <phoneticPr fontId="3"/>
  </si>
  <si>
    <t>Full Dry Coil</t>
    <phoneticPr fontId="3"/>
  </si>
  <si>
    <t>Full Cyclic</t>
    <phoneticPr fontId="3"/>
  </si>
  <si>
    <t>ful(dry)</t>
    <phoneticPr fontId="3"/>
  </si>
  <si>
    <t>ful(Cyc)</t>
    <phoneticPr fontId="3"/>
  </si>
  <si>
    <t>EER</t>
    <phoneticPr fontId="3"/>
  </si>
  <si>
    <t>for Two-stage units</t>
    <phoneticPr fontId="3"/>
  </si>
  <si>
    <t>Power input</t>
    <phoneticPr fontId="3"/>
  </si>
  <si>
    <t>for Multi-stage units</t>
    <phoneticPr fontId="3"/>
  </si>
  <si>
    <r>
      <t>(35</t>
    </r>
    <r>
      <rPr>
        <b/>
        <sz val="9"/>
        <rFont val="ＭＳ Ｐゴシック"/>
        <family val="3"/>
        <charset val="128"/>
      </rPr>
      <t>℃）</t>
    </r>
    <phoneticPr fontId="3"/>
  </si>
  <si>
    <r>
      <t>(29</t>
    </r>
    <r>
      <rPr>
        <b/>
        <sz val="9"/>
        <rFont val="ＭＳ Ｐゴシック"/>
        <family val="3"/>
        <charset val="128"/>
      </rPr>
      <t>℃）</t>
    </r>
    <phoneticPr fontId="3"/>
  </si>
  <si>
    <r>
      <t>(46</t>
    </r>
    <r>
      <rPr>
        <b/>
        <sz val="9"/>
        <rFont val="ＭＳ Ｐゴシック"/>
        <family val="3"/>
        <charset val="128"/>
      </rPr>
      <t>℃）</t>
    </r>
    <phoneticPr fontId="3"/>
  </si>
  <si>
    <t>CSPF for Variable unit (at T3)</t>
    <phoneticPr fontId="3"/>
  </si>
  <si>
    <t>CSPF for Variable unit (at T1)</t>
    <phoneticPr fontId="3"/>
  </si>
  <si>
    <t>CSPF for Mutli-stage unit (at T1)</t>
    <phoneticPr fontId="3"/>
  </si>
  <si>
    <t>CSPF for Two-stage unit (at T1)</t>
    <phoneticPr fontId="3"/>
  </si>
  <si>
    <t>CSPF for Fixed unit (at T1)</t>
    <phoneticPr fontId="3"/>
  </si>
  <si>
    <t>CSPF for Fixed unit (at T3)</t>
    <phoneticPr fontId="3"/>
  </si>
  <si>
    <t>CSPF for Two-stage unit (at T3)</t>
    <phoneticPr fontId="3"/>
  </si>
  <si>
    <t>CD</t>
    <phoneticPr fontId="3"/>
  </si>
  <si>
    <t>min(Cyc)</t>
    <phoneticPr fontId="3"/>
  </si>
  <si>
    <t>min(dry)</t>
    <phoneticPr fontId="3"/>
  </si>
  <si>
    <t>haf(Cyc)</t>
    <phoneticPr fontId="3"/>
  </si>
  <si>
    <t>haf(dry)</t>
    <phoneticPr fontId="3"/>
  </si>
  <si>
    <t>Test</t>
    <phoneticPr fontId="3"/>
  </si>
  <si>
    <t>φ</t>
    <phoneticPr fontId="3"/>
  </si>
  <si>
    <t>P</t>
    <phoneticPr fontId="3"/>
  </si>
  <si>
    <t>full&lt;Lc</t>
    <phoneticPr fontId="3"/>
  </si>
  <si>
    <t>Half</t>
    <phoneticPr fontId="3"/>
  </si>
  <si>
    <t>Minimum</t>
    <phoneticPr fontId="3"/>
  </si>
  <si>
    <t>Capacity [W]</t>
    <phoneticPr fontId="3"/>
  </si>
  <si>
    <t>Power [W]</t>
    <phoneticPr fontId="3"/>
  </si>
  <si>
    <r>
      <t>Standard condition ( 35</t>
    </r>
    <r>
      <rPr>
        <b/>
        <sz val="9"/>
        <rFont val="ＭＳ Ｐゴシック"/>
        <family val="3"/>
        <charset val="128"/>
      </rPr>
      <t>℃</t>
    </r>
    <r>
      <rPr>
        <b/>
        <sz val="9"/>
        <rFont val="Arial"/>
        <family val="2"/>
      </rPr>
      <t xml:space="preserve"> </t>
    </r>
    <r>
      <rPr>
        <b/>
        <sz val="9"/>
        <rFont val="ＭＳ Ｐゴシック"/>
        <family val="3"/>
        <charset val="128"/>
      </rPr>
      <t>）</t>
    </r>
    <phoneticPr fontId="3"/>
  </si>
  <si>
    <r>
      <t>Low Temperature Condition ( 29</t>
    </r>
    <r>
      <rPr>
        <b/>
        <sz val="9"/>
        <rFont val="ＭＳ Ｐゴシック"/>
        <family val="3"/>
        <charset val="128"/>
      </rPr>
      <t>℃</t>
    </r>
    <r>
      <rPr>
        <b/>
        <sz val="9"/>
        <rFont val="Arial"/>
        <family val="2"/>
      </rPr>
      <t xml:space="preserve"> </t>
    </r>
    <r>
      <rPr>
        <b/>
        <sz val="9"/>
        <rFont val="ＭＳ Ｐゴシック"/>
        <family val="3"/>
        <charset val="128"/>
      </rPr>
      <t>）</t>
    </r>
  </si>
  <si>
    <t>Select test item</t>
    <phoneticPr fontId="3"/>
  </si>
  <si>
    <r>
      <t>Standard Condition ( 46</t>
    </r>
    <r>
      <rPr>
        <b/>
        <sz val="9"/>
        <rFont val="ＭＳ Ｐゴシック"/>
        <family val="3"/>
        <charset val="128"/>
      </rPr>
      <t>℃</t>
    </r>
    <r>
      <rPr>
        <b/>
        <sz val="9"/>
        <rFont val="Arial"/>
        <family val="2"/>
      </rPr>
      <t xml:space="preserve"> </t>
    </r>
    <r>
      <rPr>
        <b/>
        <sz val="9"/>
        <rFont val="ＭＳ Ｐゴシック"/>
        <family val="3"/>
        <charset val="128"/>
      </rPr>
      <t>）</t>
    </r>
    <phoneticPr fontId="3"/>
  </si>
  <si>
    <r>
      <t>Medium Condition ( 35</t>
    </r>
    <r>
      <rPr>
        <b/>
        <sz val="9"/>
        <rFont val="ＭＳ Ｐゴシック"/>
        <family val="3"/>
        <charset val="128"/>
      </rPr>
      <t>℃</t>
    </r>
    <r>
      <rPr>
        <b/>
        <sz val="9"/>
        <rFont val="Arial"/>
        <family val="2"/>
      </rPr>
      <t xml:space="preserve"> </t>
    </r>
    <r>
      <rPr>
        <b/>
        <sz val="9"/>
        <rFont val="ＭＳ Ｐゴシック"/>
        <family val="3"/>
        <charset val="128"/>
      </rPr>
      <t>）</t>
    </r>
    <phoneticPr fontId="3"/>
  </si>
  <si>
    <r>
      <t>Medium condition ( 29</t>
    </r>
    <r>
      <rPr>
        <b/>
        <sz val="9"/>
        <rFont val="ＭＳ Ｐゴシック"/>
        <family val="3"/>
        <charset val="128"/>
      </rPr>
      <t>℃</t>
    </r>
    <r>
      <rPr>
        <b/>
        <sz val="9"/>
        <rFont val="Arial"/>
        <family val="2"/>
      </rPr>
      <t xml:space="preserve"> </t>
    </r>
    <r>
      <rPr>
        <b/>
        <sz val="9"/>
        <rFont val="ＭＳ Ｐゴシック"/>
        <family val="3"/>
        <charset val="128"/>
      </rPr>
      <t>）</t>
    </r>
    <phoneticPr fontId="3"/>
  </si>
  <si>
    <t>Optional test</t>
    <phoneticPr fontId="3"/>
  </si>
  <si>
    <t>CD</t>
    <phoneticPr fontId="3"/>
  </si>
  <si>
    <t>CSPF for Multi-stage unit (at T3)</t>
    <phoneticPr fontId="3"/>
  </si>
  <si>
    <t>min</t>
    <phoneticPr fontId="3"/>
  </si>
  <si>
    <r>
      <t>Low humidity and Cyclic condition (29</t>
    </r>
    <r>
      <rPr>
        <b/>
        <sz val="9"/>
        <rFont val="ＭＳ Ｐゴシック"/>
        <family val="3"/>
        <charset val="128"/>
      </rPr>
      <t>℃</t>
    </r>
    <r>
      <rPr>
        <b/>
        <sz val="9"/>
        <rFont val="Arial"/>
        <family val="2"/>
      </rPr>
      <t>)</t>
    </r>
  </si>
  <si>
    <t>Not Measure</t>
    <phoneticPr fontId="3"/>
  </si>
  <si>
    <t>Measure</t>
    <phoneticPr fontId="3"/>
  </si>
  <si>
    <t>Default</t>
    <phoneticPr fontId="3"/>
  </si>
  <si>
    <t>Measure</t>
    <phoneticPr fontId="3"/>
  </si>
  <si>
    <t>Default</t>
    <phoneticPr fontId="3"/>
  </si>
  <si>
    <t>Default</t>
    <phoneticPr fontId="3"/>
  </si>
  <si>
    <t>Measure</t>
    <phoneticPr fontId="3"/>
  </si>
  <si>
    <r>
      <t>Low humidity and Cyclic condition ( 35</t>
    </r>
    <r>
      <rPr>
        <b/>
        <sz val="9"/>
        <rFont val="ＭＳ Ｐゴシック"/>
        <family val="3"/>
        <charset val="128"/>
      </rPr>
      <t>℃</t>
    </r>
    <r>
      <rPr>
        <b/>
        <sz val="9"/>
        <rFont val="Arial"/>
        <family val="2"/>
      </rPr>
      <t xml:space="preserve"> )</t>
    </r>
    <phoneticPr fontId="3"/>
  </si>
  <si>
    <t>Default</t>
    <phoneticPr fontId="3"/>
  </si>
  <si>
    <t>Measure</t>
    <phoneticPr fontId="3"/>
  </si>
  <si>
    <t xml:space="preserve"> </t>
    <phoneticPr fontId="3"/>
  </si>
  <si>
    <t xml:space="preserve"> </t>
    <phoneticPr fontId="3"/>
  </si>
  <si>
    <t>Default</t>
    <phoneticPr fontId="3"/>
  </si>
  <si>
    <t>Measure</t>
    <phoneticPr fontId="3"/>
  </si>
  <si>
    <t>Default</t>
    <phoneticPr fontId="3"/>
  </si>
  <si>
    <t>Measure</t>
    <phoneticPr fontId="3"/>
  </si>
  <si>
    <t>　</t>
    <phoneticPr fontId="3"/>
  </si>
  <si>
    <t>Required test only</t>
    <phoneticPr fontId="3"/>
  </si>
  <si>
    <t>With Optional test</t>
    <phoneticPr fontId="3"/>
  </si>
  <si>
    <t xml:space="preserve"> </t>
    <phoneticPr fontId="3"/>
  </si>
  <si>
    <t>CSTL [ kWh ]</t>
    <phoneticPr fontId="3"/>
  </si>
  <si>
    <t>CSEC [ kWh ]</t>
    <phoneticPr fontId="3"/>
  </si>
  <si>
    <t xml:space="preserve">NOTE  If the minimum capacity test is measured, min(29) 
           test is conducted first. Min(35) test may be measured
           or may be calculated by using default value.
</t>
    <phoneticPr fontId="3"/>
  </si>
  <si>
    <t xml:space="preserve">NOTE  If the minimum capacity test is measured, min(35) 
           test is conducted first. Min(46) test or min(29) test 
           may be measured or may be calculated by using
          default  value.
</t>
    <phoneticPr fontId="3"/>
  </si>
  <si>
    <r>
      <t>(29</t>
    </r>
    <r>
      <rPr>
        <b/>
        <sz val="8"/>
        <rFont val="ＭＳ Ｐゴシック"/>
        <family val="3"/>
        <charset val="128"/>
      </rPr>
      <t>℃</t>
    </r>
    <r>
      <rPr>
        <b/>
        <sz val="8"/>
        <rFont val="Arial"/>
        <family val="2"/>
      </rPr>
      <t xml:space="preserve"> Low Humidity and cyclic)</t>
    </r>
    <phoneticPr fontId="3"/>
  </si>
  <si>
    <r>
      <t>(35</t>
    </r>
    <r>
      <rPr>
        <b/>
        <sz val="8"/>
        <rFont val="ＭＳ Ｐゴシック"/>
        <family val="3"/>
        <charset val="128"/>
      </rPr>
      <t>℃</t>
    </r>
    <r>
      <rPr>
        <b/>
        <sz val="8"/>
        <rFont val="Arial"/>
        <family val="2"/>
      </rPr>
      <t xml:space="preserve"> Low Humidity and cyclic)</t>
    </r>
    <phoneticPr fontId="3"/>
  </si>
  <si>
    <t xml:space="preserve"> </t>
    <phoneticPr fontId="3"/>
  </si>
  <si>
    <t xml:space="preserve"> </t>
    <phoneticPr fontId="3"/>
  </si>
  <si>
    <t>for variable units</t>
    <phoneticPr fontId="3"/>
  </si>
  <si>
    <t>LCST</t>
    <phoneticPr fontId="3"/>
  </si>
  <si>
    <t>CCSE</t>
    <phoneticPr fontId="3"/>
  </si>
  <si>
    <t>LCST</t>
    <phoneticPr fontId="3"/>
  </si>
  <si>
    <t>CCSE</t>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</si>
  <si>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</si>
  <si>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</si>
  <si>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</si>
  <si>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</si>
  <si>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t</t>
    </r>
    <r>
      <rPr>
        <b/>
        <vertAlign val="subscript"/>
        <sz val="9"/>
        <color theme="0"/>
        <rFont val="Arial"/>
        <family val="2"/>
      </rPr>
      <t>b</t>
    </r>
    <phoneticPr fontId="3"/>
  </si>
  <si>
    <r>
      <rPr>
        <b/>
        <i/>
        <sz val="9"/>
        <color theme="0"/>
        <rFont val="Arial"/>
        <family val="2"/>
      </rPr>
      <t>E</t>
    </r>
    <r>
      <rPr>
        <b/>
        <sz val="9"/>
        <color theme="0"/>
        <rFont val="Arial"/>
        <family val="2"/>
      </rPr>
      <t>ER(t0)</t>
    </r>
    <phoneticPr fontId="3"/>
  </si>
  <si>
    <r>
      <t>φ(29)</t>
    </r>
    <r>
      <rPr>
        <sz val="9"/>
        <color theme="0"/>
        <rFont val="ＭＳ Ｐゴシック"/>
        <family val="3"/>
        <charset val="128"/>
      </rPr>
      <t>←</t>
    </r>
    <r>
      <rPr>
        <sz val="9"/>
        <color theme="0"/>
        <rFont val="Arial"/>
        <family val="2"/>
      </rPr>
      <t>φ(35)</t>
    </r>
    <phoneticPr fontId="3"/>
  </si>
  <si>
    <r>
      <t>t</t>
    </r>
    <r>
      <rPr>
        <b/>
        <vertAlign val="subscript"/>
        <sz val="9"/>
        <color theme="0"/>
        <rFont val="Arial"/>
        <family val="2"/>
      </rPr>
      <t>c</t>
    </r>
    <phoneticPr fontId="3"/>
  </si>
  <si>
    <r>
      <rPr>
        <b/>
        <i/>
        <sz val="9"/>
        <color theme="0"/>
        <rFont val="Arial"/>
        <family val="2"/>
      </rPr>
      <t>E</t>
    </r>
    <r>
      <rPr>
        <b/>
        <sz val="9"/>
        <color theme="0"/>
        <rFont val="Arial"/>
        <family val="2"/>
      </rPr>
      <t>ER,ful(tb)</t>
    </r>
    <phoneticPr fontId="3"/>
  </si>
  <si>
    <r>
      <t>P(29)</t>
    </r>
    <r>
      <rPr>
        <sz val="9"/>
        <color theme="0"/>
        <rFont val="ＭＳ Ｐゴシック"/>
        <family val="3"/>
        <charset val="128"/>
      </rPr>
      <t>←</t>
    </r>
    <r>
      <rPr>
        <sz val="9"/>
        <color theme="0"/>
        <rFont val="Arial"/>
        <family val="2"/>
      </rPr>
      <t>P(35)</t>
    </r>
    <phoneticPr fontId="3"/>
  </si>
  <si>
    <r>
      <t>t</t>
    </r>
    <r>
      <rPr>
        <b/>
        <vertAlign val="subscript"/>
        <sz val="9"/>
        <color theme="0"/>
        <rFont val="Arial"/>
        <family val="2"/>
      </rPr>
      <t>p</t>
    </r>
    <phoneticPr fontId="3"/>
  </si>
  <si>
    <r>
      <rPr>
        <b/>
        <i/>
        <sz val="9"/>
        <color theme="0"/>
        <rFont val="Arial"/>
        <family val="2"/>
      </rPr>
      <t>E</t>
    </r>
    <r>
      <rPr>
        <b/>
        <sz val="9"/>
        <color theme="0"/>
        <rFont val="Arial"/>
        <family val="2"/>
      </rPr>
      <t>ER,haf(tc)</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</si>
  <si>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</si>
  <si>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0</t>
    </r>
    <phoneticPr fontId="3"/>
  </si>
  <si>
    <r>
      <rPr>
        <b/>
        <i/>
        <sz val="9"/>
        <color theme="0"/>
        <rFont val="Arial"/>
        <family val="2"/>
      </rPr>
      <t>E</t>
    </r>
    <r>
      <rPr>
        <b/>
        <sz val="9"/>
        <color theme="0"/>
        <rFont val="Arial"/>
        <family val="2"/>
      </rPr>
      <t>ER,min(tp)</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</si>
  <si>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</si>
  <si>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</si>
  <si>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haf</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</si>
  <si>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</si>
  <si>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</si>
  <si>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</si>
  <si>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</si>
  <si>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</si>
  <si>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</si>
  <si>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half</t>
    </r>
    <phoneticPr fontId="3"/>
  </si>
  <si>
    <r>
      <t>Half&lt;Lc</t>
    </r>
    <r>
      <rPr>
        <sz val="9"/>
        <color theme="0"/>
        <rFont val="ＭＳ Ｐゴシック"/>
        <family val="3"/>
        <charset val="128"/>
      </rPr>
      <t>≦</t>
    </r>
    <r>
      <rPr>
        <sz val="9"/>
        <color theme="0"/>
        <rFont val="Arial"/>
        <family val="2"/>
      </rPr>
      <t>full</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</si>
  <si>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</si>
  <si>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</si>
  <si>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</si>
  <si>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</si>
  <si>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</si>
  <si>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</si>
  <si>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</si>
  <si>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i/>
        <sz val="9"/>
        <color theme="0"/>
        <rFont val="Arial"/>
        <family val="2"/>
      </rPr>
      <t>P</t>
    </r>
    <r>
      <rPr>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</si>
  <si>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</si>
  <si>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</si>
  <si>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</si>
  <si>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E</t>
    </r>
    <r>
      <rPr>
        <b/>
        <sz val="9"/>
        <color theme="0"/>
        <rFont val="Arial"/>
        <family val="2"/>
      </rPr>
      <t>ER,min(tj)</t>
    </r>
    <phoneticPr fontId="3"/>
  </si>
  <si>
    <r>
      <rPr>
        <b/>
        <i/>
        <sz val="9"/>
        <color theme="0"/>
        <rFont val="Arial"/>
        <family val="2"/>
      </rPr>
      <t>E</t>
    </r>
    <r>
      <rPr>
        <b/>
        <sz val="9"/>
        <color theme="0"/>
        <rFont val="Arial"/>
        <family val="2"/>
      </rPr>
      <t>ER,min-haf(tj)</t>
    </r>
    <phoneticPr fontId="3"/>
  </si>
  <si>
    <r>
      <rPr>
        <b/>
        <i/>
        <sz val="9"/>
        <color theme="0"/>
        <rFont val="Arial"/>
        <family val="2"/>
      </rPr>
      <t>E</t>
    </r>
    <r>
      <rPr>
        <b/>
        <sz val="9"/>
        <color theme="0"/>
        <rFont val="Arial"/>
        <family val="2"/>
      </rPr>
      <t>ER,haf-min(tj)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</si>
  <si>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</si>
  <si>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</si>
  <si>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haf-ful(tj)</t>
    </r>
    <phoneticPr fontId="3"/>
  </si>
  <si>
    <r>
      <rPr>
        <b/>
        <i/>
        <sz val="9"/>
        <color theme="0"/>
        <rFont val="Arial"/>
        <family val="2"/>
      </rPr>
      <t>P</t>
    </r>
    <r>
      <rPr>
        <b/>
        <sz val="9"/>
        <color theme="0"/>
        <rFont val="Arial"/>
        <family val="2"/>
      </rPr>
      <t>ful(tj)</t>
    </r>
    <phoneticPr fontId="3"/>
  </si>
  <si>
    <r>
      <rPr>
        <b/>
        <i/>
        <sz val="9"/>
        <color theme="0"/>
        <rFont val="Arial"/>
        <family val="2"/>
      </rPr>
      <t>φ</t>
    </r>
    <r>
      <rPr>
        <b/>
        <sz val="9"/>
        <color theme="0"/>
        <rFont val="Arial"/>
        <family val="2"/>
      </rPr>
      <t>ful(t100)</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</si>
  <si>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</si>
  <si>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</si>
  <si>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rPr>
        <b/>
        <vertAlign val="subscript"/>
        <sz val="9"/>
        <color theme="0"/>
        <rFont val="Arial"/>
        <family val="2"/>
      </rPr>
      <t>haf</t>
    </r>
    <r>
      <rPr>
        <b/>
        <sz val="9"/>
        <color theme="0"/>
        <rFont val="Arial"/>
        <family val="2"/>
      </rPr>
      <t>(29)</t>
    </r>
    <phoneticPr fontId="3"/>
  </si>
  <si>
    <r>
      <rPr>
        <b/>
        <i/>
        <sz val="9"/>
        <color theme="0"/>
        <rFont val="Arial"/>
        <family val="2"/>
      </rPr>
      <t>L</t>
    </r>
    <r>
      <rPr>
        <b/>
        <sz val="9"/>
        <color theme="0"/>
        <rFont val="Arial"/>
        <family val="2"/>
      </rPr>
      <t>c(tj)</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</si>
  <si>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</si>
  <si>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</si>
  <si>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E</t>
    </r>
    <r>
      <rPr>
        <b/>
        <sz val="9"/>
        <color theme="0"/>
        <rFont val="Arial"/>
        <family val="2"/>
      </rPr>
      <t>ER,haf-min(tj)</t>
    </r>
    <phoneticPr fontId="3"/>
  </si>
  <si>
    <r>
      <rPr>
        <b/>
        <vertAlign val="subscript"/>
        <sz val="9"/>
        <color theme="0"/>
        <rFont val="Arial"/>
        <family val="2"/>
      </rPr>
      <t>ful</t>
    </r>
    <r>
      <rPr>
        <b/>
        <sz val="9"/>
        <color theme="0"/>
        <rFont val="Arial"/>
        <family val="2"/>
      </rPr>
      <t>(46)</t>
    </r>
    <phoneticPr fontId="3"/>
  </si>
  <si>
    <r>
      <rPr>
        <b/>
        <vertAlign val="subscript"/>
        <sz val="9"/>
        <color theme="0"/>
        <rFont val="Arial"/>
        <family val="2"/>
      </rPr>
      <t>haf</t>
    </r>
    <r>
      <rPr>
        <b/>
        <sz val="9"/>
        <color theme="0"/>
        <rFont val="Arial"/>
        <family val="2"/>
      </rPr>
      <t>(46)</t>
    </r>
    <phoneticPr fontId="3"/>
  </si>
  <si>
    <r>
      <rPr>
        <b/>
        <vertAlign val="subscript"/>
        <sz val="9"/>
        <color theme="0"/>
        <rFont val="Arial"/>
        <family val="2"/>
      </rPr>
      <t>min</t>
    </r>
    <r>
      <rPr>
        <b/>
        <sz val="9"/>
        <color theme="0"/>
        <rFont val="Arial"/>
        <family val="2"/>
      </rPr>
      <t>(46)</t>
    </r>
    <phoneticPr fontId="3"/>
  </si>
  <si>
    <r>
      <t xml:space="preserve">in case of </t>
    </r>
    <r>
      <rPr>
        <sz val="9"/>
        <color theme="0"/>
        <rFont val="ＭＳ Ｐゴシック"/>
        <family val="3"/>
        <charset val="128"/>
      </rPr>
      <t>≦</t>
    </r>
    <r>
      <rPr>
        <sz val="9"/>
        <color theme="0"/>
        <rFont val="Arial"/>
        <family val="2"/>
      </rPr>
      <t xml:space="preserve"> 35</t>
    </r>
    <r>
      <rPr>
        <sz val="9"/>
        <color theme="0"/>
        <rFont val="ＭＳ Ｐゴシック"/>
        <family val="3"/>
        <charset val="128"/>
      </rPr>
      <t>℃</t>
    </r>
    <phoneticPr fontId="3"/>
  </si>
  <si>
    <r>
      <t>φ(29)</t>
    </r>
    <r>
      <rPr>
        <b/>
        <sz val="9"/>
        <color theme="0"/>
        <rFont val="ＭＳ Ｐゴシック"/>
        <family val="3"/>
        <charset val="128"/>
      </rPr>
      <t>←</t>
    </r>
    <r>
      <rPr>
        <b/>
        <sz val="9"/>
        <color theme="0"/>
        <rFont val="Arial"/>
        <family val="2"/>
      </rPr>
      <t>φ(35)</t>
    </r>
    <phoneticPr fontId="3"/>
  </si>
  <si>
    <r>
      <t>P(29)</t>
    </r>
    <r>
      <rPr>
        <b/>
        <sz val="9"/>
        <color theme="0"/>
        <rFont val="ＭＳ Ｐゴシック"/>
        <family val="3"/>
        <charset val="128"/>
      </rPr>
      <t>←</t>
    </r>
    <r>
      <rPr>
        <b/>
        <sz val="9"/>
        <color theme="0"/>
        <rFont val="Arial"/>
        <family val="2"/>
      </rPr>
      <t>P(35)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</si>
  <si>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</si>
  <si>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</si>
  <si>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t>in case of &gt; 35</t>
    </r>
    <r>
      <rPr>
        <sz val="9"/>
        <color theme="0"/>
        <rFont val="ＭＳ Ｐゴシック"/>
        <family val="3"/>
        <charset val="128"/>
      </rPr>
      <t>℃</t>
    </r>
    <phoneticPr fontId="3"/>
  </si>
  <si>
    <r>
      <rPr>
        <b/>
        <i/>
        <sz val="9"/>
        <color theme="0"/>
        <rFont val="Arial"/>
        <family val="2"/>
      </rPr>
      <t>X</t>
    </r>
    <r>
      <rPr>
        <b/>
        <sz val="9"/>
        <color theme="0"/>
        <rFont val="Arial"/>
        <family val="2"/>
      </rPr>
      <t>(tj)</t>
    </r>
    <phoneticPr fontId="3"/>
  </si>
  <si>
    <r>
      <rPr>
        <b/>
        <i/>
        <sz val="9"/>
        <color theme="0"/>
        <rFont val="Arial"/>
        <family val="2"/>
      </rPr>
      <t>L</t>
    </r>
    <r>
      <rPr>
        <b/>
        <sz val="9"/>
        <color theme="0"/>
        <rFont val="Arial"/>
        <family val="2"/>
      </rPr>
      <t>CST</t>
    </r>
    <phoneticPr fontId="3"/>
  </si>
  <si>
    <r>
      <t>Half&lt;Lc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</si>
  <si>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</si>
  <si>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i/>
        <sz val="9"/>
        <color theme="0"/>
        <rFont val="Arial"/>
        <family val="2"/>
      </rPr>
      <t>P</t>
    </r>
    <r>
      <rPr>
        <sz val="9"/>
        <color theme="0"/>
        <rFont val="Arial"/>
        <family val="2"/>
      </rPr>
      <t>min(tj)</t>
    </r>
    <phoneticPr fontId="3"/>
  </si>
  <si>
    <r>
      <rPr>
        <b/>
        <vertAlign val="subscript"/>
        <sz val="9"/>
        <color theme="0"/>
        <rFont val="Arial"/>
        <family val="2"/>
      </rPr>
      <t>ful</t>
    </r>
    <r>
      <rPr>
        <b/>
        <sz val="9"/>
        <color theme="0"/>
        <rFont val="Arial"/>
        <family val="2"/>
      </rPr>
      <t>(46)</t>
    </r>
    <phoneticPr fontId="3"/>
  </si>
  <si>
    <r>
      <t>in case of &gt; 35</t>
    </r>
    <r>
      <rPr>
        <sz val="9"/>
        <color theme="0"/>
        <rFont val="ＭＳ Ｐゴシック"/>
        <family val="3"/>
        <charset val="128"/>
      </rPr>
      <t>℃</t>
    </r>
    <phoneticPr fontId="3"/>
  </si>
  <si>
    <r>
      <t>t</t>
    </r>
    <r>
      <rPr>
        <b/>
        <vertAlign val="subscript"/>
        <sz val="9"/>
        <color theme="0"/>
        <rFont val="Arial"/>
        <family val="2"/>
      </rPr>
      <t>b</t>
    </r>
    <phoneticPr fontId="3"/>
  </si>
  <si>
    <t>EER</t>
    <phoneticPr fontId="3"/>
  </si>
  <si>
    <t>EER</t>
    <phoneticPr fontId="3"/>
  </si>
  <si>
    <r>
      <rPr>
        <b/>
        <i/>
        <sz val="9"/>
        <color theme="0"/>
        <rFont val="Arial"/>
        <family val="2"/>
      </rPr>
      <t>φ</t>
    </r>
    <r>
      <rPr>
        <b/>
        <vertAlign val="subscript"/>
        <sz val="9"/>
        <color theme="0"/>
        <rFont val="Arial"/>
        <family val="2"/>
      </rPr>
      <t>ful</t>
    </r>
    <r>
      <rPr>
        <b/>
        <sz val="9"/>
        <color theme="0"/>
        <rFont val="Arial"/>
        <family val="2"/>
      </rPr>
      <t>(t100)</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</si>
  <si>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</si>
  <si>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</si>
  <si>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</si>
  <si>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</si>
  <si>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</si>
  <si>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</si>
  <si>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</si>
  <si>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</si>
  <si>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haf</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</si>
  <si>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</si>
  <si>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</si>
  <si>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</si>
  <si>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</si>
  <si>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</si>
  <si>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rPr>
        <b/>
        <i/>
        <sz val="9"/>
        <color theme="0"/>
        <rFont val="Arial"/>
        <family val="2"/>
      </rPr>
      <t>X</t>
    </r>
    <r>
      <rPr>
        <b/>
        <sz val="9"/>
        <color theme="0"/>
        <rFont val="Arial"/>
        <family val="2"/>
      </rPr>
      <t>mh(tj)</t>
    </r>
    <phoneticPr fontId="3"/>
  </si>
  <si>
    <r>
      <rPr>
        <b/>
        <i/>
        <sz val="9"/>
        <color theme="0"/>
        <rFont val="Arial"/>
        <family val="2"/>
      </rPr>
      <t>X</t>
    </r>
    <r>
      <rPr>
        <b/>
        <sz val="9"/>
        <color theme="0"/>
        <rFont val="Arial"/>
        <family val="2"/>
      </rPr>
      <t>hf(tj)</t>
    </r>
    <phoneticPr fontId="3"/>
  </si>
  <si>
    <r>
      <rPr>
        <b/>
        <i/>
        <sz val="9"/>
        <color theme="0"/>
        <rFont val="Arial"/>
        <family val="2"/>
      </rPr>
      <t>L</t>
    </r>
    <r>
      <rPr>
        <b/>
        <sz val="9"/>
        <color theme="0"/>
        <rFont val="Arial"/>
        <family val="2"/>
      </rPr>
      <t>CST</t>
    </r>
    <phoneticPr fontId="3"/>
  </si>
  <si>
    <r>
      <t>Lc</t>
    </r>
    <r>
      <rPr>
        <sz val="9"/>
        <color theme="0"/>
        <rFont val="ＭＳ Ｐゴシック"/>
        <family val="3"/>
        <charset val="128"/>
      </rPr>
      <t>≦</t>
    </r>
    <r>
      <rPr>
        <sz val="9"/>
        <color theme="0"/>
        <rFont val="Arial"/>
        <family val="2"/>
      </rPr>
      <t>min</t>
    </r>
    <phoneticPr fontId="3"/>
  </si>
  <si>
    <r>
      <t>Half&lt;Lc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</si>
  <si>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</si>
  <si>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</si>
  <si>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</si>
  <si>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</si>
  <si>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</si>
  <si>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</si>
  <si>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b/>
        <i/>
        <sz val="9"/>
        <color theme="0"/>
        <rFont val="Arial"/>
        <family val="2"/>
      </rPr>
      <t>P</t>
    </r>
    <r>
      <rPr>
        <b/>
        <sz val="9"/>
        <color theme="0"/>
        <rFont val="Arial"/>
        <family val="2"/>
      </rPr>
      <t>ful(tj)</t>
    </r>
    <phoneticPr fontId="3"/>
  </si>
  <si>
    <r>
      <rPr>
        <b/>
        <i/>
        <sz val="9"/>
        <color theme="0"/>
        <rFont val="Arial"/>
        <family val="2"/>
      </rPr>
      <t>P</t>
    </r>
    <r>
      <rPr>
        <b/>
        <sz val="9"/>
        <color theme="0"/>
        <rFont val="Arial"/>
        <family val="2"/>
      </rPr>
      <t>haf(tj)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</si>
  <si>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</si>
  <si>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</si>
  <si>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</si>
  <si>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</si>
  <si>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mh(tj)</t>
    </r>
    <phoneticPr fontId="3"/>
  </si>
  <si>
    <r>
      <rPr>
        <b/>
        <i/>
        <sz val="9"/>
        <color theme="0"/>
        <rFont val="Arial"/>
        <family val="2"/>
      </rPr>
      <t>P</t>
    </r>
    <r>
      <rPr>
        <b/>
        <sz val="9"/>
        <color theme="0"/>
        <rFont val="Arial"/>
        <family val="2"/>
      </rPr>
      <t>hf(tj)</t>
    </r>
    <phoneticPr fontId="3"/>
  </si>
  <si>
    <r>
      <rPr>
        <b/>
        <i/>
        <sz val="9"/>
        <color theme="0"/>
        <rFont val="Arial"/>
        <family val="2"/>
      </rPr>
      <t>P</t>
    </r>
    <r>
      <rPr>
        <b/>
        <sz val="9"/>
        <color theme="0"/>
        <rFont val="Arial"/>
        <family val="2"/>
      </rPr>
      <t>ful(tj)</t>
    </r>
    <phoneticPr fontId="3"/>
  </si>
  <si>
    <r>
      <rPr>
        <b/>
        <i/>
        <sz val="9"/>
        <color theme="0"/>
        <rFont val="Arial"/>
        <family val="2"/>
      </rPr>
      <t>φ</t>
    </r>
    <r>
      <rPr>
        <b/>
        <vertAlign val="subscript"/>
        <sz val="9"/>
        <color theme="0"/>
        <rFont val="Arial"/>
        <family val="2"/>
      </rPr>
      <t>ful</t>
    </r>
    <r>
      <rPr>
        <b/>
        <sz val="9"/>
        <color theme="0"/>
        <rFont val="Arial"/>
        <family val="2"/>
      </rPr>
      <t>(t100)</t>
    </r>
    <phoneticPr fontId="3"/>
  </si>
  <si>
    <r>
      <rPr>
        <b/>
        <vertAlign val="subscript"/>
        <sz val="9"/>
        <color theme="0"/>
        <rFont val="Arial"/>
        <family val="2"/>
      </rPr>
      <t>min</t>
    </r>
    <r>
      <rPr>
        <b/>
        <sz val="9"/>
        <color theme="0"/>
        <rFont val="Arial"/>
        <family val="2"/>
      </rPr>
      <t>(35)</t>
    </r>
    <phoneticPr fontId="3"/>
  </si>
  <si>
    <r>
      <t>P(29)</t>
    </r>
    <r>
      <rPr>
        <sz val="9"/>
        <color theme="0"/>
        <rFont val="ＭＳ Ｐゴシック"/>
        <family val="3"/>
        <charset val="128"/>
      </rPr>
      <t>←</t>
    </r>
    <r>
      <rPr>
        <sz val="9"/>
        <color theme="0"/>
        <rFont val="Arial"/>
        <family val="2"/>
      </rPr>
      <t>P(35)</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</si>
  <si>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</si>
  <si>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</si>
  <si>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</si>
  <si>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</si>
  <si>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</si>
  <si>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</si>
  <si>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hf(tj)</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</si>
  <si>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</si>
  <si>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half</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</si>
  <si>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</si>
  <si>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</si>
  <si>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</si>
  <si>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</si>
  <si>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</si>
  <si>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b/>
        <i/>
        <sz val="9"/>
        <color theme="0"/>
        <rFont val="Arial"/>
        <family val="2"/>
      </rPr>
      <t>P</t>
    </r>
    <r>
      <rPr>
        <b/>
        <sz val="9"/>
        <color theme="0"/>
        <rFont val="Arial"/>
        <family val="2"/>
      </rPr>
      <t>haf(tj)</t>
    </r>
    <phoneticPr fontId="3"/>
  </si>
  <si>
    <r>
      <rPr>
        <b/>
        <i/>
        <sz val="9"/>
        <color theme="0"/>
        <rFont val="Arial"/>
        <family val="2"/>
      </rPr>
      <t>P</t>
    </r>
    <r>
      <rPr>
        <b/>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</si>
  <si>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</si>
  <si>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</si>
  <si>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</si>
  <si>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hf(tj)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</si>
  <si>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</si>
  <si>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(46)</t>
    </r>
    <phoneticPr fontId="3"/>
  </si>
  <si>
    <r>
      <rPr>
        <b/>
        <vertAlign val="subscript"/>
        <sz val="9"/>
        <color theme="0"/>
        <rFont val="Arial"/>
        <family val="2"/>
      </rPr>
      <t>haf</t>
    </r>
    <r>
      <rPr>
        <b/>
        <sz val="9"/>
        <color theme="0"/>
        <rFont val="Arial"/>
        <family val="2"/>
      </rPr>
      <t>(46)</t>
    </r>
    <phoneticPr fontId="3"/>
  </si>
  <si>
    <r>
      <rPr>
        <b/>
        <vertAlign val="subscript"/>
        <sz val="9"/>
        <color theme="0"/>
        <rFont val="Arial"/>
        <family val="2"/>
      </rPr>
      <t>min</t>
    </r>
    <r>
      <rPr>
        <b/>
        <sz val="9"/>
        <color theme="0"/>
        <rFont val="Arial"/>
        <family val="2"/>
      </rPr>
      <t>(46)</t>
    </r>
    <phoneticPr fontId="3"/>
  </si>
  <si>
    <r>
      <t>P(29)</t>
    </r>
    <r>
      <rPr>
        <b/>
        <sz val="9"/>
        <color theme="0"/>
        <rFont val="ＭＳ Ｐゴシック"/>
        <family val="3"/>
        <charset val="128"/>
      </rPr>
      <t>←</t>
    </r>
    <r>
      <rPr>
        <b/>
        <sz val="9"/>
        <color theme="0"/>
        <rFont val="Arial"/>
        <family val="2"/>
      </rPr>
      <t>P(35)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</si>
  <si>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</si>
  <si>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</si>
  <si>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</si>
  <si>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</si>
  <si>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t>t</t>
    </r>
    <r>
      <rPr>
        <b/>
        <vertAlign val="subscript"/>
        <sz val="9"/>
        <color theme="0"/>
        <rFont val="Arial"/>
        <family val="2"/>
      </rPr>
      <t>0</t>
    </r>
    <phoneticPr fontId="3"/>
  </si>
  <si>
    <r>
      <rPr>
        <b/>
        <vertAlign val="subscript"/>
        <sz val="9"/>
        <color theme="0"/>
        <rFont val="Arial"/>
        <family val="2"/>
      </rPr>
      <t>ful</t>
    </r>
    <r>
      <rPr>
        <b/>
        <sz val="9"/>
        <color theme="0"/>
        <rFont val="Arial"/>
        <family val="2"/>
      </rPr>
      <t>(29)</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</si>
  <si>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</si>
  <si>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mh(tj)</t>
    </r>
    <phoneticPr fontId="3"/>
  </si>
  <si>
    <r>
      <rPr>
        <b/>
        <i/>
        <sz val="9"/>
        <color theme="0"/>
        <rFont val="Arial"/>
        <family val="2"/>
      </rPr>
      <t>X</t>
    </r>
    <r>
      <rPr>
        <b/>
        <sz val="9"/>
        <color theme="0"/>
        <rFont val="Arial"/>
        <family val="2"/>
      </rPr>
      <t>mf(tj)</t>
    </r>
    <phoneticPr fontId="3"/>
  </si>
  <si>
    <r>
      <t>Lc</t>
    </r>
    <r>
      <rPr>
        <sz val="9"/>
        <color theme="0"/>
        <rFont val="ＭＳ Ｐゴシック"/>
        <family val="3"/>
        <charset val="128"/>
      </rPr>
      <t>≦</t>
    </r>
    <r>
      <rPr>
        <sz val="9"/>
        <color theme="0"/>
        <rFont val="Arial"/>
        <family val="2"/>
      </rPr>
      <t>min</t>
    </r>
    <phoneticPr fontId="3"/>
  </si>
  <si>
    <r>
      <rPr>
        <b/>
        <i/>
        <sz val="9"/>
        <color theme="0"/>
        <rFont val="Arial"/>
        <family val="2"/>
      </rPr>
      <t>C</t>
    </r>
    <r>
      <rPr>
        <b/>
        <sz val="9"/>
        <color theme="0"/>
        <rFont val="Arial"/>
        <family val="2"/>
      </rPr>
      <t>CSE</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</si>
  <si>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</si>
  <si>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</si>
  <si>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</si>
  <si>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i/>
        <sz val="9"/>
        <color theme="0"/>
        <rFont val="Arial"/>
        <family val="2"/>
      </rPr>
      <t>P</t>
    </r>
    <r>
      <rPr>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</si>
  <si>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</si>
  <si>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</si>
  <si>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</si>
  <si>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</si>
  <si>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haf-ful(tj)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</si>
  <si>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</si>
  <si>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haf</t>
    </r>
    <r>
      <rPr>
        <b/>
        <sz val="9"/>
        <color theme="0"/>
        <rFont val="Arial"/>
        <family val="2"/>
      </rPr>
      <t>(46)</t>
    </r>
    <phoneticPr fontId="3"/>
  </si>
  <si>
    <r>
      <t>φ(29)</t>
    </r>
    <r>
      <rPr>
        <b/>
        <sz val="9"/>
        <color theme="0"/>
        <rFont val="ＭＳ Ｐゴシック"/>
        <family val="3"/>
        <charset val="128"/>
      </rPr>
      <t>←</t>
    </r>
    <r>
      <rPr>
        <b/>
        <sz val="9"/>
        <color theme="0"/>
        <rFont val="Arial"/>
        <family val="2"/>
      </rPr>
      <t>φ(35)</t>
    </r>
    <phoneticPr fontId="3"/>
  </si>
  <si>
    <r>
      <t>P(29)</t>
    </r>
    <r>
      <rPr>
        <b/>
        <sz val="9"/>
        <color theme="0"/>
        <rFont val="ＭＳ Ｐゴシック"/>
        <family val="3"/>
        <charset val="128"/>
      </rPr>
      <t>←</t>
    </r>
    <r>
      <rPr>
        <b/>
        <sz val="9"/>
        <color theme="0"/>
        <rFont val="Arial"/>
        <family val="2"/>
      </rPr>
      <t>P(35)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</si>
  <si>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</si>
  <si>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</si>
  <si>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</si>
  <si>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</si>
  <si>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t</t>
    </r>
    <r>
      <rPr>
        <b/>
        <vertAlign val="subscript"/>
        <sz val="9"/>
        <color theme="0"/>
        <rFont val="Arial"/>
        <family val="2"/>
      </rPr>
      <t>100</t>
    </r>
    <phoneticPr fontId="3"/>
  </si>
  <si>
    <r>
      <rPr>
        <b/>
        <vertAlign val="subscript"/>
        <sz val="9"/>
        <color theme="0"/>
        <rFont val="Arial"/>
        <family val="2"/>
      </rPr>
      <t>haf</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</si>
  <si>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</si>
  <si>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</si>
  <si>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X</t>
    </r>
    <r>
      <rPr>
        <b/>
        <sz val="9"/>
        <color theme="0"/>
        <rFont val="Arial"/>
        <family val="2"/>
      </rPr>
      <t>mf(tj)</t>
    </r>
    <phoneticPr fontId="3"/>
  </si>
  <si>
    <r>
      <rPr>
        <b/>
        <i/>
        <sz val="9"/>
        <color theme="0"/>
        <rFont val="Arial"/>
        <family val="2"/>
      </rPr>
      <t>L</t>
    </r>
    <r>
      <rPr>
        <b/>
        <sz val="9"/>
        <color theme="0"/>
        <rFont val="Arial"/>
        <family val="2"/>
      </rPr>
      <t>CST</t>
    </r>
    <phoneticPr fontId="3"/>
  </si>
  <si>
    <r>
      <t>min&lt;Lc</t>
    </r>
    <r>
      <rPr>
        <sz val="9"/>
        <color theme="0"/>
        <rFont val="ＭＳ Ｐゴシック"/>
        <family val="3"/>
        <charset val="128"/>
      </rPr>
      <t>≦</t>
    </r>
    <r>
      <rPr>
        <sz val="9"/>
        <color theme="0"/>
        <rFont val="Arial"/>
        <family val="2"/>
      </rPr>
      <t>half</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</si>
  <si>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</si>
  <si>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</si>
  <si>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</si>
  <si>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</si>
  <si>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</si>
  <si>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</si>
  <si>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</si>
  <si>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</si>
  <si>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ful(tj)</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</si>
  <si>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</si>
  <si>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</si>
  <si>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</si>
  <si>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</si>
  <si>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</si>
  <si>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rPr>
        <b/>
        <i/>
        <sz val="9"/>
        <color theme="0"/>
        <rFont val="Arial"/>
        <family val="2"/>
      </rPr>
      <t>Xm</t>
    </r>
    <r>
      <rPr>
        <b/>
        <sz val="9"/>
        <color theme="0"/>
        <rFont val="Arial"/>
        <family val="2"/>
      </rPr>
      <t>f(tj)</t>
    </r>
    <phoneticPr fontId="3"/>
  </si>
  <si>
    <r>
      <rPr>
        <b/>
        <i/>
        <sz val="9"/>
        <color theme="0"/>
        <rFont val="Arial"/>
        <family val="2"/>
      </rPr>
      <t>L</t>
    </r>
    <r>
      <rPr>
        <b/>
        <sz val="9"/>
        <color theme="0"/>
        <rFont val="Arial"/>
        <family val="2"/>
      </rPr>
      <t>CST</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</si>
  <si>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</si>
  <si>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Ful</t>
    </r>
    <phoneticPr fontId="3"/>
  </si>
  <si>
    <r>
      <rPr>
        <b/>
        <i/>
        <sz val="9"/>
        <color theme="0"/>
        <rFont val="Arial"/>
        <family val="2"/>
      </rPr>
      <t>φ</t>
    </r>
    <r>
      <rPr>
        <b/>
        <sz val="9"/>
        <color theme="0"/>
        <rFont val="Arial"/>
        <family val="2"/>
      </rPr>
      <t>ful(tj)</t>
    </r>
    <phoneticPr fontId="3"/>
  </si>
  <si>
    <r>
      <rPr>
        <b/>
        <i/>
        <sz val="9"/>
        <color theme="0"/>
        <rFont val="Arial"/>
        <family val="2"/>
      </rPr>
      <t>P</t>
    </r>
    <r>
      <rPr>
        <b/>
        <sz val="9"/>
        <color theme="0"/>
        <rFont val="Arial"/>
        <family val="2"/>
      </rPr>
      <t>ful(tj)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</si>
  <si>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</si>
  <si>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</si>
  <si>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mf(tj)</t>
    </r>
    <phoneticPr fontId="3"/>
  </si>
  <si>
    <r>
      <rPr>
        <b/>
        <vertAlign val="subscript"/>
        <sz val="9"/>
        <color theme="0"/>
        <rFont val="Arial"/>
        <family val="2"/>
      </rPr>
      <t>ful</t>
    </r>
    <r>
      <rPr>
        <b/>
        <sz val="9"/>
        <color theme="0"/>
        <rFont val="Arial"/>
        <family val="2"/>
      </rPr>
      <t>(35)</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</si>
  <si>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</si>
  <si>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</si>
  <si>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t>t</t>
    </r>
    <r>
      <rPr>
        <b/>
        <vertAlign val="subscript"/>
        <sz val="9"/>
        <color theme="0"/>
        <rFont val="Arial"/>
        <family val="2"/>
      </rPr>
      <t>100</t>
    </r>
    <phoneticPr fontId="3"/>
  </si>
  <si>
    <r>
      <rPr>
        <b/>
        <i/>
        <sz val="9"/>
        <color theme="0"/>
        <rFont val="Arial"/>
        <family val="2"/>
      </rPr>
      <t>L</t>
    </r>
    <r>
      <rPr>
        <b/>
        <sz val="9"/>
        <color theme="0"/>
        <rFont val="Arial"/>
        <family val="2"/>
      </rPr>
      <t>c(tj)</t>
    </r>
    <phoneticPr fontId="3"/>
  </si>
  <si>
    <r>
      <rPr>
        <b/>
        <i/>
        <sz val="9"/>
        <color theme="0"/>
        <rFont val="Arial"/>
        <family val="2"/>
      </rPr>
      <t>Xm</t>
    </r>
    <r>
      <rPr>
        <b/>
        <sz val="9"/>
        <color theme="0"/>
        <rFont val="Arial"/>
        <family val="2"/>
      </rPr>
      <t>f(tj)</t>
    </r>
    <phoneticPr fontId="3"/>
  </si>
  <si>
    <r>
      <t>min&lt;Lc</t>
    </r>
    <r>
      <rPr>
        <sz val="9"/>
        <color theme="0"/>
        <rFont val="ＭＳ Ｐゴシック"/>
        <family val="3"/>
        <charset val="128"/>
      </rPr>
      <t>≦</t>
    </r>
    <r>
      <rPr>
        <sz val="9"/>
        <color theme="0"/>
        <rFont val="Arial"/>
        <family val="2"/>
      </rPr>
      <t>Ful</t>
    </r>
    <phoneticPr fontId="3"/>
  </si>
  <si>
    <r>
      <rPr>
        <i/>
        <sz val="9"/>
        <color theme="0"/>
        <rFont val="Arial"/>
        <family val="2"/>
      </rPr>
      <t>n</t>
    </r>
    <r>
      <rPr>
        <vertAlign val="subscript"/>
        <sz val="9"/>
        <color theme="0"/>
        <rFont val="Arial"/>
        <family val="2"/>
      </rPr>
      <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</si>
  <si>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</si>
  <si>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mf(tj)</t>
    </r>
    <phoneticPr fontId="3"/>
  </si>
  <si>
    <r>
      <rPr>
        <b/>
        <vertAlign val="subscript"/>
        <sz val="9"/>
        <color theme="0"/>
        <rFont val="Arial"/>
        <family val="2"/>
      </rPr>
      <t>min</t>
    </r>
    <r>
      <rPr>
        <b/>
        <sz val="9"/>
        <color theme="0"/>
        <rFont val="Arial"/>
        <family val="2"/>
      </rPr>
      <t>(46)</t>
    </r>
    <phoneticPr fontId="3"/>
  </si>
  <si>
    <r>
      <t>φ(29)</t>
    </r>
    <r>
      <rPr>
        <b/>
        <sz val="9"/>
        <color theme="0"/>
        <rFont val="ＭＳ Ｐゴシック"/>
        <family val="3"/>
        <charset val="128"/>
      </rPr>
      <t>←</t>
    </r>
    <r>
      <rPr>
        <b/>
        <sz val="9"/>
        <color theme="0"/>
        <rFont val="Arial"/>
        <family val="2"/>
      </rPr>
      <t>φ(35)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</si>
  <si>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</si>
  <si>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</si>
  <si>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t>t</t>
    </r>
    <r>
      <rPr>
        <b/>
        <vertAlign val="subscript"/>
        <sz val="9"/>
        <color theme="0"/>
        <rFont val="Arial"/>
        <family val="2"/>
      </rPr>
      <t>0</t>
    </r>
    <phoneticPr fontId="3"/>
  </si>
  <si>
    <r>
      <rPr>
        <b/>
        <vertAlign val="subscript"/>
        <sz val="9"/>
        <color theme="0"/>
        <rFont val="Arial"/>
        <family val="2"/>
      </rPr>
      <t>min</t>
    </r>
    <r>
      <rPr>
        <b/>
        <sz val="9"/>
        <color theme="0"/>
        <rFont val="Arial"/>
        <family val="2"/>
      </rPr>
      <t>(29)</t>
    </r>
    <phoneticPr fontId="3"/>
  </si>
  <si>
    <r>
      <t>min&lt;Lc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</si>
  <si>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</si>
  <si>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</si>
  <si>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i/>
        <sz val="9"/>
        <color theme="0"/>
        <rFont val="Arial"/>
        <family val="2"/>
      </rPr>
      <t>P</t>
    </r>
    <r>
      <rPr>
        <sz val="9"/>
        <color theme="0"/>
        <rFont val="Arial"/>
        <family val="2"/>
      </rPr>
      <t>min(tj)</t>
    </r>
    <phoneticPr fontId="3"/>
  </si>
  <si>
    <r>
      <rPr>
        <b/>
        <i/>
        <sz val="9"/>
        <color theme="0"/>
        <rFont val="Arial"/>
        <family val="2"/>
      </rPr>
      <t>φ</t>
    </r>
    <r>
      <rPr>
        <b/>
        <sz val="9"/>
        <color theme="0"/>
        <rFont val="Arial"/>
        <family val="2"/>
      </rPr>
      <t>ful(t100)</t>
    </r>
    <phoneticPr fontId="3"/>
  </si>
  <si>
    <r>
      <t>P(29)</t>
    </r>
    <r>
      <rPr>
        <b/>
        <sz val="9"/>
        <color theme="0"/>
        <rFont val="ＭＳ Ｐゴシック"/>
        <family val="3"/>
        <charset val="128"/>
      </rPr>
      <t>←</t>
    </r>
    <r>
      <rPr>
        <b/>
        <sz val="9"/>
        <color theme="0"/>
        <rFont val="Arial"/>
        <family val="2"/>
      </rPr>
      <t>P(35)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</si>
  <si>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</si>
  <si>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min</t>
    </r>
    <r>
      <rPr>
        <b/>
        <sz val="9"/>
        <color theme="0"/>
        <rFont val="Arial"/>
        <family val="2"/>
      </rPr>
      <t>(35)</t>
    </r>
    <phoneticPr fontId="3"/>
  </si>
  <si>
    <r>
      <t>min&lt;Lc</t>
    </r>
    <r>
      <rPr>
        <sz val="9"/>
        <color theme="0"/>
        <rFont val="ＭＳ Ｐゴシック"/>
        <family val="3"/>
        <charset val="128"/>
      </rPr>
      <t>≦</t>
    </r>
    <r>
      <rPr>
        <sz val="9"/>
        <color theme="0"/>
        <rFont val="Arial"/>
        <family val="2"/>
      </rPr>
      <t>full</t>
    </r>
    <phoneticPr fontId="3"/>
  </si>
  <si>
    <r>
      <rPr>
        <i/>
        <sz val="9"/>
        <color theme="0"/>
        <rFont val="Arial"/>
        <family val="2"/>
      </rPr>
      <t>P</t>
    </r>
    <r>
      <rPr>
        <sz val="9"/>
        <color theme="0"/>
        <rFont val="Arial"/>
        <family val="2"/>
      </rPr>
      <t>ful(tj)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</si>
  <si>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</si>
  <si>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(35)</t>
    </r>
    <phoneticPr fontId="3"/>
  </si>
  <si>
    <r>
      <t>t</t>
    </r>
    <r>
      <rPr>
        <b/>
        <vertAlign val="subscript"/>
        <sz val="9"/>
        <color theme="0"/>
        <rFont val="Arial"/>
        <family val="2"/>
      </rPr>
      <t>100</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</si>
  <si>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</si>
  <si>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</si>
  <si>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</si>
  <si>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</si>
  <si>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X</t>
    </r>
    <r>
      <rPr>
        <b/>
        <sz val="9"/>
        <color theme="0"/>
        <rFont val="Arial"/>
        <family val="2"/>
      </rPr>
      <t>(tj)</t>
    </r>
    <phoneticPr fontId="3"/>
  </si>
  <si>
    <r>
      <rPr>
        <b/>
        <i/>
        <sz val="9"/>
        <color theme="0"/>
        <rFont val="Arial"/>
        <family val="2"/>
      </rPr>
      <t>L</t>
    </r>
    <r>
      <rPr>
        <b/>
        <sz val="9"/>
        <color theme="0"/>
        <rFont val="Arial"/>
        <family val="2"/>
      </rPr>
      <t>CST</t>
    </r>
    <phoneticPr fontId="3"/>
  </si>
  <si>
    <r>
      <rPr>
        <b/>
        <i/>
        <sz val="9"/>
        <color theme="0"/>
        <rFont val="Arial"/>
        <family val="2"/>
      </rPr>
      <t>C</t>
    </r>
    <r>
      <rPr>
        <b/>
        <sz val="9"/>
        <color theme="0"/>
        <rFont val="Arial"/>
        <family val="2"/>
      </rPr>
      <t>CSE</t>
    </r>
    <phoneticPr fontId="3"/>
  </si>
  <si>
    <r>
      <rPr>
        <b/>
        <i/>
        <sz val="9"/>
        <color theme="0"/>
        <rFont val="Arial"/>
        <family val="2"/>
      </rPr>
      <t>φ</t>
    </r>
    <r>
      <rPr>
        <b/>
        <sz val="9"/>
        <color theme="0"/>
        <rFont val="Arial"/>
        <family val="2"/>
      </rPr>
      <t>ful(tj)</t>
    </r>
    <phoneticPr fontId="3"/>
  </si>
  <si>
    <r>
      <rPr>
        <b/>
        <i/>
        <sz val="9"/>
        <color theme="0"/>
        <rFont val="Arial"/>
        <family val="2"/>
      </rPr>
      <t>P</t>
    </r>
    <r>
      <rPr>
        <b/>
        <sz val="9"/>
        <color theme="0"/>
        <rFont val="Arial"/>
        <family val="2"/>
      </rPr>
      <t>ful(tj)</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</si>
  <si>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</si>
  <si>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(29)</t>
    </r>
    <phoneticPr fontId="3"/>
  </si>
  <si>
    <r>
      <rPr>
        <b/>
        <i/>
        <sz val="9"/>
        <color theme="0"/>
        <rFont val="Arial"/>
        <family val="2"/>
      </rPr>
      <t>F</t>
    </r>
    <r>
      <rPr>
        <b/>
        <sz val="9"/>
        <color theme="0"/>
        <rFont val="Arial"/>
        <family val="2"/>
      </rPr>
      <t>PL(tj)</t>
    </r>
    <phoneticPr fontId="3"/>
  </si>
  <si>
    <r>
      <rPr>
        <b/>
        <i/>
        <sz val="9"/>
        <color theme="0"/>
        <rFont val="Arial"/>
        <family val="2"/>
      </rPr>
      <t>L</t>
    </r>
    <r>
      <rPr>
        <b/>
        <sz val="9"/>
        <color theme="0"/>
        <rFont val="Arial"/>
        <family val="2"/>
      </rPr>
      <t>CST</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</si>
  <si>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</si>
  <si>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</si>
  <si>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P</t>
    </r>
    <r>
      <rPr>
        <b/>
        <sz val="9"/>
        <color theme="0"/>
        <rFont val="Arial"/>
        <family val="2"/>
      </rPr>
      <t>ful(tj)</t>
    </r>
    <phoneticPr fontId="3"/>
  </si>
  <si>
    <r>
      <rPr>
        <b/>
        <i/>
        <sz val="9"/>
        <color theme="0"/>
        <rFont val="Arial"/>
        <family val="2"/>
      </rPr>
      <t>E</t>
    </r>
    <r>
      <rPr>
        <b/>
        <sz val="9"/>
        <color theme="0"/>
        <rFont val="Arial"/>
        <family val="2"/>
      </rPr>
      <t>ER,ful(tj)</t>
    </r>
    <phoneticPr fontId="3"/>
  </si>
  <si>
    <r>
      <t>P(29)</t>
    </r>
    <r>
      <rPr>
        <b/>
        <sz val="9"/>
        <color theme="0"/>
        <rFont val="ＭＳ Ｐゴシック"/>
        <family val="3"/>
        <charset val="128"/>
      </rPr>
      <t>←</t>
    </r>
    <r>
      <rPr>
        <b/>
        <sz val="9"/>
        <color theme="0"/>
        <rFont val="Arial"/>
        <family val="2"/>
      </rPr>
      <t>P(35)</t>
    </r>
    <phoneticPr fontId="3"/>
  </si>
  <si>
    <r>
      <t>E</t>
    </r>
    <r>
      <rPr>
        <b/>
        <sz val="9"/>
        <color theme="0"/>
        <rFont val="Arial"/>
        <family val="2"/>
      </rPr>
      <t>ER</t>
    </r>
    <phoneticPr fontId="3"/>
  </si>
  <si>
    <r>
      <rPr>
        <b/>
        <i/>
        <sz val="9"/>
        <color theme="0"/>
        <rFont val="Arial"/>
        <family val="2"/>
      </rPr>
      <t>E</t>
    </r>
    <r>
      <rPr>
        <b/>
        <sz val="9"/>
        <color theme="0"/>
        <rFont val="Arial"/>
        <family val="2"/>
      </rPr>
      <t>ER</t>
    </r>
    <phoneticPr fontId="3"/>
  </si>
  <si>
    <r>
      <rPr>
        <b/>
        <i/>
        <sz val="9"/>
        <color theme="0"/>
        <rFont val="Arial"/>
        <family val="2"/>
      </rPr>
      <t>X</t>
    </r>
    <r>
      <rPr>
        <b/>
        <sz val="9"/>
        <color theme="0"/>
        <rFont val="Arial"/>
        <family val="2"/>
      </rPr>
      <t>(tj)</t>
    </r>
    <phoneticPr fontId="3"/>
  </si>
  <si>
    <r>
      <rPr>
        <b/>
        <i/>
        <sz val="9"/>
        <color theme="0"/>
        <rFont val="Arial"/>
        <family val="2"/>
      </rPr>
      <t>φ</t>
    </r>
    <r>
      <rPr>
        <b/>
        <sz val="9"/>
        <color theme="0"/>
        <rFont val="Arial"/>
        <family val="2"/>
      </rPr>
      <t>ful(tj)</t>
    </r>
    <phoneticPr fontId="3"/>
  </si>
  <si>
    <r>
      <t>φ(29)</t>
    </r>
    <r>
      <rPr>
        <b/>
        <sz val="9"/>
        <color theme="0"/>
        <rFont val="ＭＳ Ｐゴシック"/>
        <family val="3"/>
        <charset val="128"/>
      </rPr>
      <t>←</t>
    </r>
    <r>
      <rPr>
        <b/>
        <sz val="9"/>
        <color theme="0"/>
        <rFont val="Arial"/>
        <family val="2"/>
      </rPr>
      <t>φ(35)</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</si>
  <si>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</si>
  <si>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(35)</t>
    </r>
    <phoneticPr fontId="3"/>
  </si>
  <si>
    <r>
      <t>t</t>
    </r>
    <r>
      <rPr>
        <b/>
        <vertAlign val="subscript"/>
        <sz val="9"/>
        <color theme="0"/>
        <rFont val="Arial"/>
        <family val="2"/>
      </rPr>
      <t>0</t>
    </r>
    <phoneticPr fontId="3"/>
  </si>
  <si>
    <r>
      <rPr>
        <b/>
        <i/>
        <sz val="9"/>
        <color theme="0"/>
        <rFont val="Arial"/>
        <family val="2"/>
      </rPr>
      <t>F</t>
    </r>
    <r>
      <rPr>
        <b/>
        <sz val="9"/>
        <color theme="0"/>
        <rFont val="Arial"/>
        <family val="2"/>
      </rPr>
      <t>PL(tj)</t>
    </r>
    <phoneticPr fontId="3"/>
  </si>
  <si>
    <r>
      <rPr>
        <b/>
        <i/>
        <sz val="9"/>
        <color theme="0"/>
        <rFont val="Arial"/>
        <family val="2"/>
      </rPr>
      <t>φ</t>
    </r>
    <r>
      <rPr>
        <b/>
        <sz val="9"/>
        <color theme="0"/>
        <rFont val="Arial"/>
        <family val="2"/>
      </rPr>
      <t>ful(tj)</t>
    </r>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</si>
</sst>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
    <numFmt numFmtId="165" formatCode="0.0"/>
    <numFmt numFmtId="166" formatCode="#,##0_ "/>
    <numFmt numFmtId="167" formatCode="#,##0_);[Red]\(#,##0\)"/>
    <numFmt numFmtId="168" formatCode="#,##0.00_);[Red]\(#,##0.00\)"/>
  </numFmts>
  <fonts count="41">
    <font>
      <sz val="11"/>
      <name val="ＭＳ Ｐゴシック"/>
      <family val="3"/>
      <charset val="128"/>
    </font>
    <font>
      <sz val="11"/>
      <color theme="1"/>
      <name val="Calibri"/>
      <family val="2"/>
      <charset val="128"/>
      <scheme val="minor"/>
    </font>
    <font>
      <sz val="11"/>
      <color theme="1"/>
      <name val="Calibri"/>
      <family val="2"/>
      <charset val="128"/>
      <scheme val="minor"/>
    </font>
    <font>
      <sz val="6"/>
      <name val="ＭＳ Ｐゴシック"/>
      <family val="3"/>
      <charset val="128"/>
    </font>
    <font>
      <sz val="12"/>
      <name val="新細明體"/>
      <family val="1"/>
      <charset val="136"/>
    </font>
    <font>
      <sz val="10"/>
      <color theme="1"/>
      <name val="Calibri"/>
      <family val="2"/>
      <scheme val="minor"/>
    </font>
    <font>
      <sz val="10"/>
      <name val="Arial"/>
      <family val="2"/>
    </font>
    <font>
      <b/>
      <sz val="11"/>
      <name val="Arial"/>
      <family val="2"/>
    </font>
    <font>
      <sz val="11"/>
      <name val="Arial"/>
      <family val="2"/>
    </font>
    <font>
      <vertAlign val="subscript"/>
      <sz val="11"/>
      <name val="Arial"/>
      <family val="2"/>
    </font>
    <font>
      <b/>
      <sz val="16"/>
      <name val="Arial"/>
      <family val="2"/>
    </font>
    <font>
      <b/>
      <sz val="9"/>
      <name val="ＭＳ Ｐゴシック"/>
      <family val="3"/>
      <charset val="128"/>
    </font>
    <font>
      <u/>
      <sz val="11"/>
      <color theme="10"/>
      <name val="ＭＳ Ｐゴシック"/>
      <family val="3"/>
      <charset val="128"/>
    </font>
    <font>
      <sz val="11"/>
      <color rgb="FFFF0000"/>
      <name val="Arial"/>
      <family val="2"/>
    </font>
    <font>
      <sz val="9"/>
      <name val="Arial"/>
      <family val="2"/>
    </font>
    <font>
      <b/>
      <sz val="9"/>
      <name val="Arial"/>
      <family val="2"/>
    </font>
    <font>
      <sz val="8"/>
      <name val="Arial"/>
      <family val="2"/>
    </font>
    <font>
      <sz val="3"/>
      <name val="Arial"/>
      <family val="2"/>
    </font>
    <font>
      <b/>
      <sz val="14"/>
      <color theme="0"/>
      <name val="Arial"/>
      <family val="2"/>
    </font>
    <font>
      <u/>
      <sz val="11"/>
      <color theme="10"/>
      <name val="Arial"/>
      <family val="2"/>
    </font>
    <font>
      <b/>
      <sz val="10"/>
      <name val="Arial"/>
      <family val="2"/>
    </font>
    <font>
      <sz val="9"/>
      <color rgb="FF9BF39D"/>
      <name val="Arial"/>
      <family val="2"/>
    </font>
    <font>
      <sz val="11"/>
      <color rgb="FF9BF39D"/>
      <name val="Arial"/>
      <family val="2"/>
    </font>
    <font>
      <sz val="9"/>
      <color rgb="FFFF0000"/>
      <name val="Arial"/>
      <family val="2"/>
    </font>
    <font>
      <b/>
      <sz val="10"/>
      <name val="ＭＳ Ｐゴシック"/>
      <family val="3"/>
      <charset val="128"/>
    </font>
    <font>
      <b/>
      <sz val="9"/>
      <color theme="0" tint="-0.499984740745262"/>
      <name val="Arial"/>
      <family val="2"/>
    </font>
    <font>
      <b/>
      <sz val="6"/>
      <name val="Arial"/>
      <family val="2"/>
    </font>
    <font>
      <b/>
      <sz val="8"/>
      <name val="Arial"/>
      <family val="2"/>
    </font>
    <font>
      <b/>
      <sz val="8"/>
      <name val="ＭＳ Ｐゴシック"/>
      <family val="3"/>
      <charset val="128"/>
    </font>
    <font>
      <b/>
      <sz val="9"/>
      <color rgb="FF9BF39D"/>
      <name val="Arial"/>
      <family val="2"/>
    </font>
    <font>
      <sz val="8"/>
      <color rgb="FF9BF39D"/>
      <name val="Arial"/>
      <family val="2"/>
    </font>
    <font>
      <b/>
      <sz val="9"/>
      <color theme="0"/>
      <name val="Arial"/>
      <family val="2"/>
    </font>
    <font>
      <sz val="9"/>
      <color theme="0"/>
      <name val="Arial"/>
      <family val="2"/>
    </font>
    <font>
      <b/>
      <i/>
      <sz val="9"/>
      <color theme="0"/>
      <name val="Arial"/>
      <family val="2"/>
    </font>
    <font>
      <b/>
      <vertAlign val="subscript"/>
      <sz val="9"/>
      <color theme="0"/>
      <name val="Arial"/>
      <family val="2"/>
    </font>
    <font>
      <sz val="9"/>
      <color theme="0"/>
      <name val="ＭＳ Ｐゴシック"/>
      <family val="3"/>
      <charset val="128"/>
    </font>
    <font>
      <i/>
      <sz val="9"/>
      <color theme="0"/>
      <name val="Arial"/>
      <family val="2"/>
    </font>
    <font>
      <vertAlign val="subscript"/>
      <sz val="9"/>
      <color theme="0"/>
      <name val="Arial"/>
      <family val="2"/>
    </font>
    <font>
      <b/>
      <sz val="9"/>
      <color theme="0"/>
      <name val="ＭＳ Ｐゴシック"/>
      <family val="3"/>
      <charset val="128"/>
    </font>
    <font>
      <sz val="9"/>
      <color rgb="FF000000"/>
      <name val="ＭＳ Ｐゴシック"/>
    </font>
    <font>
      <sz val="9"/>
      <color rgb="FF000000"/>
      <name val="Meiryo UI"/>
    </font>
  </fonts>
  <fills count="12">
    <fill>
      <patternFill patternType="none"/>
    </fill>
    <fill>
      <patternFill patternType="gray125"/>
    </fill>
    <fill>
      <patternFill patternType="solid">
        <fgColor rgb="FFFFFF00"/>
        <bgColor indexed="64"/>
      </patternFill>
    </fill>
    <fill>
      <patternFill patternType="solid">
        <fgColor rgb="FF9BF39D"/>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3"/>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hair">
        <color indexed="64"/>
      </left>
      <right style="thin">
        <color indexed="64"/>
      </right>
      <top style="thin">
        <color indexed="64"/>
      </top>
      <bottom style="dotted">
        <color indexed="64"/>
      </bottom>
      <diagonal/>
    </border>
    <border>
      <left style="hair">
        <color indexed="64"/>
      </left>
      <right style="thin">
        <color indexed="64"/>
      </right>
      <top style="dotted">
        <color indexed="64"/>
      </top>
      <bottom style="dotted">
        <color indexed="64"/>
      </bottom>
      <diagonal/>
    </border>
    <border>
      <left style="hair">
        <color indexed="64"/>
      </left>
      <right style="thin">
        <color indexed="64"/>
      </right>
      <top style="dotted">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style="thin">
        <color indexed="64"/>
      </top>
      <bottom style="dotted">
        <color indexed="64"/>
      </bottom>
      <diagonal/>
    </border>
    <border>
      <left style="thin">
        <color indexed="64"/>
      </left>
      <right style="hair">
        <color indexed="64"/>
      </right>
      <top style="dotted">
        <color indexed="64"/>
      </top>
      <bottom style="dotted">
        <color indexed="64"/>
      </bottom>
      <diagonal/>
    </border>
    <border>
      <left style="thin">
        <color indexed="64"/>
      </left>
      <right style="hair">
        <color indexed="64"/>
      </right>
      <top style="dotted">
        <color indexed="64"/>
      </top>
      <bottom style="thin">
        <color indexed="64"/>
      </bottom>
      <diagonal/>
    </border>
  </borders>
  <cellStyleXfs count="8">
    <xf numFmtId="0" fontId="0" fillId="0" borderId="0"/>
    <xf numFmtId="0" fontId="4" fillId="0" borderId="0">
      <alignment vertical="center"/>
    </xf>
    <xf numFmtId="0" fontId="5" fillId="0" borderId="0"/>
    <xf numFmtId="0" fontId="6" fillId="0" borderId="0"/>
    <xf numFmtId="0" fontId="2" fillId="0" borderId="0">
      <alignment vertical="center"/>
    </xf>
    <xf numFmtId="9" fontId="2" fillId="0" borderId="0" applyFont="0" applyFill="0" applyBorder="0" applyAlignment="0" applyProtection="0">
      <alignment vertical="center"/>
    </xf>
    <xf numFmtId="0" fontId="12" fillId="0" borderId="0" applyNumberFormat="0" applyFill="0" applyBorder="0" applyAlignment="0" applyProtection="0"/>
    <xf numFmtId="0" fontId="1" fillId="0" borderId="0">
      <alignment vertical="center"/>
    </xf>
  </cellStyleXfs>
  <cellXfs count="173">
    <xf numFmtId="0" fontId="0" fillId="0" borderId="0" xfId="0"/>
    <xf numFmtId="0" fontId="8" fillId="0" borderId="0" xfId="0" applyFont="1"/>
    <xf numFmtId="0" fontId="10" fillId="0" borderId="0" xfId="0" applyFont="1"/>
    <xf numFmtId="0" fontId="8" fillId="0" borderId="1" xfId="0" applyFont="1" applyBorder="1"/>
    <xf numFmtId="0" fontId="7" fillId="0" borderId="0" xfId="0" applyFont="1"/>
    <xf numFmtId="0" fontId="17" fillId="0" borderId="0" xfId="0" applyFont="1"/>
    <xf numFmtId="0" fontId="8" fillId="0" borderId="1" xfId="0" applyFont="1" applyBorder="1" applyAlignment="1">
      <alignment horizontal="center" vertical="center"/>
    </xf>
    <xf numFmtId="0" fontId="14" fillId="0" borderId="1" xfId="0" applyFont="1" applyBorder="1" applyAlignment="1">
      <alignment horizontal="center" wrapText="1"/>
    </xf>
    <xf numFmtId="0" fontId="14" fillId="0" borderId="1" xfId="0" applyFont="1" applyBorder="1" applyAlignment="1">
      <alignment horizontal="center"/>
    </xf>
    <xf numFmtId="0" fontId="8" fillId="0" borderId="5" xfId="0" applyFont="1" applyBorder="1" applyAlignment="1">
      <alignment horizontal="center"/>
    </xf>
    <xf numFmtId="0" fontId="8" fillId="0" borderId="14" xfId="0" applyFont="1" applyBorder="1" applyAlignment="1">
      <alignment horizontal="center"/>
    </xf>
    <xf numFmtId="0" fontId="8" fillId="0" borderId="15" xfId="0" applyFont="1" applyBorder="1" applyAlignment="1">
      <alignment horizontal="center"/>
    </xf>
    <xf numFmtId="0" fontId="8" fillId="0" borderId="16" xfId="0" applyFont="1" applyBorder="1" applyAlignment="1">
      <alignment horizontal="center"/>
    </xf>
    <xf numFmtId="0" fontId="8" fillId="0" borderId="10"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2" xfId="0" applyFont="1" applyBorder="1" applyAlignment="1">
      <alignment horizontal="center"/>
    </xf>
    <xf numFmtId="0" fontId="8" fillId="0" borderId="2" xfId="0" applyFont="1" applyBorder="1" applyAlignment="1">
      <alignment horizontal="center"/>
    </xf>
    <xf numFmtId="0" fontId="8" fillId="0" borderId="1" xfId="0" applyFont="1" applyBorder="1" applyAlignment="1">
      <alignment horizontal="center"/>
    </xf>
    <xf numFmtId="0" fontId="8" fillId="9" borderId="20" xfId="0" applyFont="1" applyFill="1" applyBorder="1" applyAlignment="1" applyProtection="1">
      <alignment horizontal="center"/>
      <protection locked="0"/>
    </xf>
    <xf numFmtId="0" fontId="8" fillId="9" borderId="14" xfId="0" applyFont="1" applyFill="1" applyBorder="1" applyAlignment="1" applyProtection="1">
      <alignment horizontal="center"/>
      <protection locked="0"/>
    </xf>
    <xf numFmtId="0" fontId="8" fillId="9" borderId="21" xfId="0" applyFont="1" applyFill="1" applyBorder="1" applyAlignment="1" applyProtection="1">
      <alignment horizontal="center"/>
      <protection locked="0"/>
    </xf>
    <xf numFmtId="0" fontId="8" fillId="9" borderId="15" xfId="0" applyFont="1" applyFill="1" applyBorder="1" applyAlignment="1" applyProtection="1">
      <alignment horizontal="center"/>
      <protection locked="0"/>
    </xf>
    <xf numFmtId="0" fontId="8" fillId="9" borderId="22" xfId="0" applyFont="1" applyFill="1" applyBorder="1" applyAlignment="1" applyProtection="1">
      <alignment horizontal="center"/>
      <protection locked="0"/>
    </xf>
    <xf numFmtId="0" fontId="8" fillId="9" borderId="16" xfId="0" applyFont="1" applyFill="1" applyBorder="1" applyAlignment="1" applyProtection="1">
      <alignment horizontal="center"/>
      <protection locked="0"/>
    </xf>
    <xf numFmtId="0" fontId="8" fillId="0" borderId="0" xfId="0" applyFont="1" applyAlignment="1" applyProtection="1">
      <alignment vertical="center"/>
      <protection hidden="1"/>
    </xf>
    <xf numFmtId="0" fontId="31" fillId="0" borderId="0" xfId="0" applyFont="1" applyProtection="1">
      <protection hidden="1"/>
    </xf>
    <xf numFmtId="0" fontId="32" fillId="0" borderId="0" xfId="0" applyFont="1" applyProtection="1">
      <protection hidden="1"/>
    </xf>
    <xf numFmtId="14" fontId="32" fillId="0" borderId="0" xfId="0" applyNumberFormat="1" applyFont="1" applyAlignment="1" applyProtection="1">
      <alignment horizontal="right"/>
      <protection hidden="1"/>
    </xf>
    <xf numFmtId="0" fontId="15" fillId="3" borderId="0" xfId="0" applyFont="1" applyFill="1" applyProtection="1">
      <protection hidden="1"/>
    </xf>
    <xf numFmtId="0" fontId="14" fillId="3" borderId="0" xfId="0" applyFont="1" applyFill="1" applyProtection="1">
      <protection hidden="1"/>
    </xf>
    <xf numFmtId="0" fontId="21" fillId="3" borderId="0" xfId="0" applyFont="1" applyFill="1" applyProtection="1">
      <protection hidden="1"/>
    </xf>
    <xf numFmtId="0" fontId="14" fillId="0" borderId="0" xfId="0" applyFont="1" applyProtection="1">
      <protection hidden="1"/>
    </xf>
    <xf numFmtId="0" fontId="8" fillId="0" borderId="0" xfId="0" applyFont="1" applyProtection="1">
      <protection hidden="1"/>
    </xf>
    <xf numFmtId="0" fontId="19" fillId="0" borderId="0" xfId="6" applyFont="1" applyProtection="1">
      <protection hidden="1"/>
    </xf>
    <xf numFmtId="0" fontId="31" fillId="0" borderId="0" xfId="0" applyFont="1" applyAlignment="1" applyProtection="1">
      <alignment horizontal="center" vertical="center" wrapText="1"/>
      <protection hidden="1"/>
    </xf>
    <xf numFmtId="1" fontId="31" fillId="0" borderId="0" xfId="0" applyNumberFormat="1" applyFont="1" applyAlignment="1" applyProtection="1">
      <alignment horizontal="center" vertical="center"/>
      <protection hidden="1"/>
    </xf>
    <xf numFmtId="0" fontId="32" fillId="0" borderId="0" xfId="0" applyFont="1" applyAlignment="1" applyProtection="1">
      <alignment vertical="center"/>
      <protection hidden="1"/>
    </xf>
    <xf numFmtId="0" fontId="31" fillId="0" borderId="0" xfId="0" applyFont="1" applyAlignment="1" applyProtection="1">
      <alignment horizontal="center" vertical="center"/>
      <protection hidden="1"/>
    </xf>
    <xf numFmtId="2" fontId="31" fillId="0" borderId="0" xfId="0" applyNumberFormat="1" applyFont="1" applyAlignment="1" applyProtection="1">
      <alignment horizontal="center" vertical="center"/>
      <protection hidden="1"/>
    </xf>
    <xf numFmtId="14" fontId="32" fillId="0" borderId="0" xfId="0" applyNumberFormat="1" applyFont="1" applyProtection="1">
      <protection hidden="1"/>
    </xf>
    <xf numFmtId="0" fontId="32" fillId="0" borderId="0" xfId="0" applyFont="1" applyAlignment="1" applyProtection="1">
      <alignment horizontal="right"/>
      <protection hidden="1"/>
    </xf>
    <xf numFmtId="0" fontId="31" fillId="0" borderId="0" xfId="0" applyFont="1" applyAlignment="1" applyProtection="1">
      <alignment horizontal="center"/>
      <protection hidden="1"/>
    </xf>
    <xf numFmtId="2" fontId="32" fillId="0" borderId="0" xfId="0" applyNumberFormat="1" applyFont="1" applyAlignment="1" applyProtection="1">
      <alignment horizontal="center"/>
      <protection hidden="1"/>
    </xf>
    <xf numFmtId="14" fontId="32" fillId="0" borderId="0" xfId="0" applyNumberFormat="1" applyFont="1" applyAlignment="1" applyProtection="1">
      <alignment horizontal="left"/>
      <protection hidden="1"/>
    </xf>
    <xf numFmtId="0" fontId="24" fillId="3" borderId="0" xfId="0" applyFont="1" applyFill="1" applyProtection="1">
      <protection hidden="1"/>
    </xf>
    <xf numFmtId="0" fontId="20" fillId="3" borderId="0" xfId="0" applyFont="1" applyFill="1" applyProtection="1">
      <protection hidden="1"/>
    </xf>
    <xf numFmtId="0" fontId="20" fillId="0" borderId="0" xfId="0" applyFont="1" applyProtection="1">
      <protection hidden="1"/>
    </xf>
    <xf numFmtId="0" fontId="15" fillId="0" borderId="0" xfId="0" applyFont="1" applyProtection="1">
      <protection hidden="1"/>
    </xf>
    <xf numFmtId="0" fontId="33" fillId="0" borderId="0" xfId="0" applyFont="1" applyAlignment="1" applyProtection="1">
      <alignment horizontal="center"/>
      <protection hidden="1"/>
    </xf>
    <xf numFmtId="165" fontId="31" fillId="0" borderId="0" xfId="0" applyNumberFormat="1" applyFont="1" applyAlignment="1" applyProtection="1">
      <alignment horizontal="center"/>
      <protection hidden="1"/>
    </xf>
    <xf numFmtId="0" fontId="32" fillId="0" borderId="0" xfId="0" applyFont="1" applyAlignment="1" applyProtection="1">
      <alignment horizontal="center" vertical="center"/>
      <protection hidden="1"/>
    </xf>
    <xf numFmtId="0" fontId="14" fillId="2" borderId="2" xfId="0" applyFont="1" applyFill="1" applyBorder="1" applyProtection="1">
      <protection hidden="1"/>
    </xf>
    <xf numFmtId="0" fontId="14" fillId="2" borderId="13" xfId="0" applyFont="1" applyFill="1" applyBorder="1" applyProtection="1">
      <protection hidden="1"/>
    </xf>
    <xf numFmtId="0" fontId="14" fillId="2" borderId="3" xfId="0" applyFont="1" applyFill="1" applyBorder="1" applyProtection="1">
      <protection hidden="1"/>
    </xf>
    <xf numFmtId="0" fontId="14" fillId="4" borderId="2" xfId="0" applyFont="1" applyFill="1" applyBorder="1" applyProtection="1">
      <protection hidden="1"/>
    </xf>
    <xf numFmtId="0" fontId="14" fillId="4" borderId="13" xfId="0" applyFont="1" applyFill="1" applyBorder="1" applyProtection="1">
      <protection hidden="1"/>
    </xf>
    <xf numFmtId="0" fontId="14" fillId="4" borderId="3" xfId="0" applyFont="1" applyFill="1" applyBorder="1" applyProtection="1">
      <protection hidden="1"/>
    </xf>
    <xf numFmtId="0" fontId="23" fillId="0" borderId="0" xfId="0" applyFont="1" applyProtection="1">
      <protection hidden="1"/>
    </xf>
    <xf numFmtId="2" fontId="31" fillId="0" borderId="0" xfId="0" applyNumberFormat="1" applyFont="1" applyAlignment="1" applyProtection="1">
      <alignment horizontal="center"/>
      <protection hidden="1"/>
    </xf>
    <xf numFmtId="1" fontId="31" fillId="0" borderId="0" xfId="0" applyNumberFormat="1" applyFont="1" applyAlignment="1" applyProtection="1">
      <alignment horizontal="center"/>
      <protection hidden="1"/>
    </xf>
    <xf numFmtId="0" fontId="32" fillId="0" borderId="0" xfId="0" applyFont="1" applyAlignment="1" applyProtection="1">
      <alignment horizontal="center"/>
      <protection hidden="1"/>
    </xf>
    <xf numFmtId="0" fontId="14" fillId="3" borderId="0" xfId="0" applyFont="1" applyFill="1" applyAlignment="1" applyProtection="1">
      <alignment vertical="center"/>
      <protection hidden="1"/>
    </xf>
    <xf numFmtId="0" fontId="14" fillId="4" borderId="0" xfId="0" applyFont="1" applyFill="1" applyProtection="1">
      <protection hidden="1"/>
    </xf>
    <xf numFmtId="0" fontId="32" fillId="0" borderId="0" xfId="0" applyFont="1" applyAlignment="1" applyProtection="1">
      <alignment horizontal="center" vertical="center" shrinkToFit="1"/>
      <protection hidden="1"/>
    </xf>
    <xf numFmtId="0" fontId="31" fillId="0" borderId="0" xfId="0" applyFont="1" applyAlignment="1" applyProtection="1">
      <alignment horizontal="center" shrinkToFit="1"/>
      <protection hidden="1"/>
    </xf>
    <xf numFmtId="0" fontId="32" fillId="0" borderId="0" xfId="0" applyFont="1" applyAlignment="1" applyProtection="1">
      <alignment horizontal="center" shrinkToFit="1"/>
      <protection hidden="1"/>
    </xf>
    <xf numFmtId="0" fontId="14" fillId="4" borderId="7" xfId="0" applyFont="1" applyFill="1" applyBorder="1" applyProtection="1">
      <protection hidden="1"/>
    </xf>
    <xf numFmtId="1" fontId="32" fillId="0" borderId="0" xfId="0" applyNumberFormat="1" applyFont="1" applyAlignment="1" applyProtection="1">
      <alignment horizontal="center"/>
      <protection hidden="1"/>
    </xf>
    <xf numFmtId="164" fontId="32" fillId="0" borderId="0" xfId="0" applyNumberFormat="1" applyFont="1" applyAlignment="1" applyProtection="1">
      <alignment horizontal="center"/>
      <protection hidden="1"/>
    </xf>
    <xf numFmtId="165" fontId="32" fillId="0" borderId="0" xfId="0" applyNumberFormat="1" applyFont="1" applyAlignment="1" applyProtection="1">
      <alignment horizontal="center"/>
      <protection hidden="1"/>
    </xf>
    <xf numFmtId="0" fontId="27" fillId="3" borderId="0" xfId="0" applyFont="1" applyFill="1" applyProtection="1">
      <protection hidden="1"/>
    </xf>
    <xf numFmtId="0" fontId="29" fillId="3" borderId="0" xfId="0" applyFont="1" applyFill="1" applyProtection="1">
      <protection hidden="1"/>
    </xf>
    <xf numFmtId="0" fontId="8" fillId="4" borderId="2" xfId="0" applyFont="1" applyFill="1" applyBorder="1" applyProtection="1">
      <protection hidden="1"/>
    </xf>
    <xf numFmtId="0" fontId="8" fillId="3" borderId="0" xfId="0" applyFont="1" applyFill="1" applyProtection="1">
      <protection hidden="1"/>
    </xf>
    <xf numFmtId="1" fontId="31" fillId="0" borderId="0" xfId="0" applyNumberFormat="1" applyFont="1" applyAlignment="1" applyProtection="1">
      <alignment horizontal="center" shrinkToFit="1"/>
      <protection hidden="1"/>
    </xf>
    <xf numFmtId="0" fontId="22" fillId="3" borderId="0" xfId="0" applyFont="1" applyFill="1" applyProtection="1">
      <protection hidden="1"/>
    </xf>
    <xf numFmtId="0" fontId="30" fillId="3" borderId="0" xfId="0" applyFont="1" applyFill="1" applyProtection="1">
      <protection hidden="1"/>
    </xf>
    <xf numFmtId="0" fontId="13" fillId="0" borderId="0" xfId="0" applyFont="1" applyProtection="1">
      <protection hidden="1"/>
    </xf>
    <xf numFmtId="0" fontId="21" fillId="3" borderId="0" xfId="0" applyFont="1" applyFill="1" applyProtection="1">
      <protection locked="0" hidden="1"/>
    </xf>
    <xf numFmtId="0" fontId="12" fillId="0" borderId="0" xfId="6" applyProtection="1">
      <protection hidden="1"/>
    </xf>
    <xf numFmtId="0" fontId="33"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14" fillId="4" borderId="17" xfId="0" applyFont="1" applyFill="1" applyBorder="1" applyProtection="1">
      <protection hidden="1"/>
    </xf>
    <xf numFmtId="0" fontId="14" fillId="4" borderId="8" xfId="0" applyFont="1" applyFill="1" applyBorder="1" applyProtection="1">
      <protection hidden="1"/>
    </xf>
    <xf numFmtId="0" fontId="16" fillId="3" borderId="0" xfId="0" applyFont="1" applyFill="1" applyProtection="1">
      <protection hidden="1"/>
    </xf>
    <xf numFmtId="0" fontId="16" fillId="0" borderId="0" xfId="0" applyFont="1" applyProtection="1">
      <protection hidden="1"/>
    </xf>
    <xf numFmtId="0" fontId="8" fillId="4" borderId="7" xfId="0" applyFont="1" applyFill="1" applyBorder="1" applyProtection="1">
      <protection hidden="1"/>
    </xf>
    <xf numFmtId="0" fontId="8" fillId="4" borderId="17" xfId="0" applyFont="1" applyFill="1" applyBorder="1" applyProtection="1">
      <protection hidden="1"/>
    </xf>
    <xf numFmtId="0" fontId="21" fillId="0" borderId="0" xfId="0" applyFont="1" applyProtection="1">
      <protection hidden="1"/>
    </xf>
    <xf numFmtId="0" fontId="2" fillId="0" borderId="0" xfId="4" applyProtection="1">
      <alignment vertical="center"/>
      <protection hidden="1"/>
    </xf>
    <xf numFmtId="0" fontId="22" fillId="0" borderId="0" xfId="0" applyFont="1" applyProtection="1">
      <protection hidden="1"/>
    </xf>
    <xf numFmtId="0" fontId="0" fillId="11" borderId="0" xfId="0" applyFill="1" applyAlignment="1">
      <alignment vertical="center"/>
    </xf>
    <xf numFmtId="0" fontId="0" fillId="0" borderId="0" xfId="0" applyAlignment="1">
      <alignment vertical="center"/>
    </xf>
    <xf numFmtId="0" fontId="31" fillId="0" borderId="0" xfId="0" applyFont="1" applyAlignment="1" applyProtection="1">
      <alignment horizontal="center" vertical="center" shrinkToFit="1"/>
      <protection hidden="1"/>
    </xf>
    <xf numFmtId="0" fontId="32" fillId="0" borderId="0" xfId="0" applyFont="1" applyAlignment="1" applyProtection="1">
      <alignment horizontal="center" vertical="center"/>
      <protection hidden="1"/>
    </xf>
    <xf numFmtId="0" fontId="32" fillId="0" borderId="0" xfId="0" applyFont="1" applyAlignment="1" applyProtection="1">
      <alignment horizontal="center" vertical="center" wrapText="1"/>
      <protection hidden="1"/>
    </xf>
    <xf numFmtId="0" fontId="32" fillId="0" borderId="0" xfId="0" applyFont="1" applyAlignment="1" applyProtection="1">
      <alignment horizontal="center" vertical="center" shrinkToFit="1"/>
      <protection hidden="1"/>
    </xf>
    <xf numFmtId="0" fontId="33" fillId="0" borderId="0" xfId="0" applyFont="1" applyAlignment="1" applyProtection="1">
      <alignment horizontal="center" vertical="center" shrinkToFit="1"/>
      <protection hidden="1"/>
    </xf>
    <xf numFmtId="0" fontId="14" fillId="4" borderId="13" xfId="0" applyFont="1" applyFill="1" applyBorder="1" applyAlignment="1" applyProtection="1">
      <alignment horizontal="left"/>
      <protection hidden="1"/>
    </xf>
    <xf numFmtId="0" fontId="14" fillId="4" borderId="3" xfId="0" applyFont="1" applyFill="1" applyBorder="1" applyAlignment="1" applyProtection="1">
      <alignment horizontal="left"/>
      <protection hidden="1"/>
    </xf>
    <xf numFmtId="0" fontId="15" fillId="5" borderId="2" xfId="0" applyFont="1" applyFill="1" applyBorder="1" applyAlignment="1" applyProtection="1">
      <alignment horizontal="center" vertical="center" wrapText="1"/>
      <protection hidden="1"/>
    </xf>
    <xf numFmtId="0" fontId="15" fillId="5" borderId="3" xfId="0" applyFont="1" applyFill="1" applyBorder="1" applyAlignment="1" applyProtection="1">
      <alignment horizontal="center" vertical="center" wrapText="1"/>
      <protection hidden="1"/>
    </xf>
    <xf numFmtId="0" fontId="14" fillId="2" borderId="1" xfId="0" applyFont="1" applyFill="1" applyBorder="1" applyAlignment="1" applyProtection="1">
      <alignment horizontal="center"/>
      <protection hidden="1"/>
    </xf>
    <xf numFmtId="0" fontId="14" fillId="4" borderId="6" xfId="0" applyFont="1" applyFill="1" applyBorder="1" applyAlignment="1" applyProtection="1">
      <alignment horizontal="left"/>
      <protection hidden="1"/>
    </xf>
    <xf numFmtId="0" fontId="14" fillId="4" borderId="9" xfId="0" applyFont="1" applyFill="1" applyBorder="1" applyAlignment="1" applyProtection="1">
      <alignment horizontal="left"/>
      <protection hidden="1"/>
    </xf>
    <xf numFmtId="0" fontId="15" fillId="5" borderId="1" xfId="0" applyFont="1" applyFill="1" applyBorder="1" applyAlignment="1" applyProtection="1">
      <alignment horizontal="center"/>
      <protection hidden="1"/>
    </xf>
    <xf numFmtId="0" fontId="15" fillId="5" borderId="1" xfId="0" applyFont="1" applyFill="1" applyBorder="1" applyAlignment="1" applyProtection="1">
      <alignment horizontal="center" vertical="center"/>
      <protection hidden="1"/>
    </xf>
    <xf numFmtId="0" fontId="14" fillId="8" borderId="1" xfId="0" applyFont="1" applyFill="1" applyBorder="1" applyAlignment="1" applyProtection="1">
      <alignment horizontal="center"/>
      <protection hidden="1"/>
    </xf>
    <xf numFmtId="2" fontId="15" fillId="5" borderId="1" xfId="0" applyNumberFormat="1" applyFont="1" applyFill="1" applyBorder="1" applyAlignment="1" applyProtection="1">
      <alignment horizontal="center" vertical="center"/>
      <protection hidden="1"/>
    </xf>
    <xf numFmtId="0" fontId="26" fillId="3" borderId="6" xfId="0" applyFont="1" applyFill="1" applyBorder="1" applyAlignment="1" applyProtection="1">
      <alignment horizontal="left" vertical="top" wrapText="1"/>
      <protection hidden="1"/>
    </xf>
    <xf numFmtId="0" fontId="26" fillId="3" borderId="0" xfId="0" applyFont="1" applyFill="1" applyAlignment="1" applyProtection="1">
      <alignment horizontal="left" vertical="top" wrapText="1"/>
      <protection hidden="1"/>
    </xf>
    <xf numFmtId="0" fontId="26" fillId="3" borderId="18" xfId="0" applyFont="1" applyFill="1" applyBorder="1" applyAlignment="1" applyProtection="1">
      <alignment horizontal="left" vertical="top" wrapText="1"/>
      <protection hidden="1"/>
    </xf>
    <xf numFmtId="0" fontId="18" fillId="6" borderId="0" xfId="0" applyFont="1" applyFill="1" applyAlignment="1" applyProtection="1">
      <alignment horizontal="center"/>
      <protection hidden="1"/>
    </xf>
    <xf numFmtId="0" fontId="18" fillId="6" borderId="0" xfId="0" applyFont="1" applyFill="1" applyAlignment="1" applyProtection="1">
      <alignment horizontal="center" vertical="top"/>
      <protection hidden="1"/>
    </xf>
    <xf numFmtId="0" fontId="14" fillId="2" borderId="2" xfId="0" applyFont="1" applyFill="1" applyBorder="1" applyAlignment="1" applyProtection="1">
      <alignment horizontal="center"/>
      <protection hidden="1"/>
    </xf>
    <xf numFmtId="0" fontId="14" fillId="2" borderId="13" xfId="0" applyFont="1" applyFill="1" applyBorder="1" applyAlignment="1" applyProtection="1">
      <alignment horizontal="center"/>
      <protection hidden="1"/>
    </xf>
    <xf numFmtId="0" fontId="14" fillId="2" borderId="3" xfId="0" applyFont="1" applyFill="1" applyBorder="1" applyAlignment="1" applyProtection="1">
      <alignment horizontal="center"/>
      <protection hidden="1"/>
    </xf>
    <xf numFmtId="0" fontId="14" fillId="2" borderId="5" xfId="0" applyFont="1" applyFill="1" applyBorder="1" applyAlignment="1" applyProtection="1">
      <alignment horizontal="center"/>
      <protection hidden="1"/>
    </xf>
    <xf numFmtId="0" fontId="14" fillId="8" borderId="4" xfId="0" applyFont="1" applyFill="1" applyBorder="1" applyAlignment="1" applyProtection="1">
      <alignment horizontal="center"/>
      <protection hidden="1"/>
    </xf>
    <xf numFmtId="0" fontId="14" fillId="8" borderId="1" xfId="0" applyFont="1" applyFill="1" applyBorder="1" applyAlignment="1" applyProtection="1">
      <alignment horizontal="center" vertical="center"/>
      <protection hidden="1"/>
    </xf>
    <xf numFmtId="0" fontId="15" fillId="5" borderId="2" xfId="0" applyFont="1" applyFill="1" applyBorder="1" applyAlignment="1" applyProtection="1">
      <alignment horizontal="center" vertical="center"/>
      <protection hidden="1"/>
    </xf>
    <xf numFmtId="0" fontId="15" fillId="5" borderId="13" xfId="0" applyFont="1" applyFill="1" applyBorder="1" applyAlignment="1" applyProtection="1">
      <alignment horizontal="center" vertical="center"/>
      <protection hidden="1"/>
    </xf>
    <xf numFmtId="0" fontId="15" fillId="5" borderId="3" xfId="0" applyFont="1" applyFill="1" applyBorder="1" applyAlignment="1" applyProtection="1">
      <alignment horizontal="center" vertical="center"/>
      <protection hidden="1"/>
    </xf>
    <xf numFmtId="167" fontId="15" fillId="5" borderId="1" xfId="0" applyNumberFormat="1" applyFont="1" applyFill="1" applyBorder="1" applyAlignment="1" applyProtection="1">
      <alignment horizontal="center"/>
      <protection hidden="1"/>
    </xf>
    <xf numFmtId="167" fontId="15" fillId="4" borderId="1" xfId="0" applyNumberFormat="1" applyFont="1" applyFill="1" applyBorder="1" applyAlignment="1" applyProtection="1">
      <alignment horizontal="center" vertical="center"/>
      <protection locked="0" hidden="1"/>
    </xf>
    <xf numFmtId="167" fontId="15" fillId="10" borderId="1" xfId="0" applyNumberFormat="1" applyFont="1" applyFill="1" applyBorder="1" applyAlignment="1" applyProtection="1">
      <alignment horizontal="center" vertical="center"/>
      <protection locked="0" hidden="1"/>
    </xf>
    <xf numFmtId="0" fontId="15" fillId="5" borderId="2" xfId="0" applyFont="1" applyFill="1" applyBorder="1" applyAlignment="1" applyProtection="1">
      <alignment horizontal="center"/>
      <protection hidden="1"/>
    </xf>
    <xf numFmtId="0" fontId="15" fillId="5" borderId="13" xfId="0" applyFont="1" applyFill="1" applyBorder="1" applyAlignment="1" applyProtection="1">
      <alignment horizontal="center"/>
      <protection hidden="1"/>
    </xf>
    <xf numFmtId="0" fontId="15" fillId="5" borderId="3" xfId="0" applyFont="1" applyFill="1" applyBorder="1" applyAlignment="1" applyProtection="1">
      <alignment horizontal="center"/>
      <protection hidden="1"/>
    </xf>
    <xf numFmtId="0" fontId="15" fillId="5" borderId="1" xfId="0" applyFont="1" applyFill="1" applyBorder="1" applyAlignment="1" applyProtection="1">
      <alignment horizontal="center" vertical="center" wrapText="1"/>
      <protection hidden="1"/>
    </xf>
    <xf numFmtId="167" fontId="15" fillId="7" borderId="1" xfId="0" applyNumberFormat="1" applyFont="1" applyFill="1" applyBorder="1" applyAlignment="1" applyProtection="1">
      <alignment horizontal="center"/>
      <protection hidden="1"/>
    </xf>
    <xf numFmtId="167" fontId="15" fillId="2" borderId="1" xfId="0" applyNumberFormat="1" applyFont="1" applyFill="1" applyBorder="1" applyAlignment="1" applyProtection="1">
      <alignment horizontal="center" vertical="center"/>
      <protection locked="0" hidden="1"/>
    </xf>
    <xf numFmtId="2" fontId="15" fillId="5" borderId="2" xfId="0" applyNumberFormat="1" applyFont="1" applyFill="1" applyBorder="1" applyAlignment="1" applyProtection="1">
      <alignment horizontal="center" vertical="center"/>
      <protection hidden="1"/>
    </xf>
    <xf numFmtId="2" fontId="15" fillId="5" borderId="3" xfId="0" applyNumberFormat="1" applyFont="1" applyFill="1" applyBorder="1" applyAlignment="1" applyProtection="1">
      <alignment horizontal="center" vertical="center"/>
      <protection hidden="1"/>
    </xf>
    <xf numFmtId="2" fontId="25" fillId="7" borderId="1" xfId="0" applyNumberFormat="1" applyFont="1" applyFill="1" applyBorder="1" applyAlignment="1" applyProtection="1">
      <alignment horizontal="center" vertical="center"/>
      <protection hidden="1"/>
    </xf>
    <xf numFmtId="167" fontId="25" fillId="7" borderId="1" xfId="0" applyNumberFormat="1" applyFont="1" applyFill="1" applyBorder="1" applyAlignment="1" applyProtection="1">
      <alignment horizontal="center" vertical="center"/>
      <protection hidden="1"/>
    </xf>
    <xf numFmtId="0" fontId="15" fillId="7" borderId="1" xfId="0" applyFont="1" applyFill="1" applyBorder="1" applyAlignment="1" applyProtection="1">
      <alignment horizontal="center"/>
      <protection hidden="1"/>
    </xf>
    <xf numFmtId="167" fontId="15" fillId="4" borderId="1" xfId="0" applyNumberFormat="1" applyFont="1" applyFill="1" applyBorder="1" applyAlignment="1" applyProtection="1">
      <alignment horizontal="center"/>
      <protection locked="0" hidden="1"/>
    </xf>
    <xf numFmtId="167" fontId="25" fillId="7" borderId="1" xfId="0" applyNumberFormat="1" applyFont="1" applyFill="1" applyBorder="1" applyAlignment="1" applyProtection="1">
      <alignment horizontal="center"/>
      <protection hidden="1"/>
    </xf>
    <xf numFmtId="2" fontId="15" fillId="5" borderId="2" xfId="0" applyNumberFormat="1" applyFont="1" applyFill="1" applyBorder="1" applyAlignment="1" applyProtection="1">
      <alignment horizontal="center"/>
      <protection hidden="1"/>
    </xf>
    <xf numFmtId="2" fontId="15" fillId="5" borderId="13" xfId="0" applyNumberFormat="1" applyFont="1" applyFill="1" applyBorder="1" applyAlignment="1" applyProtection="1">
      <alignment horizontal="center"/>
      <protection hidden="1"/>
    </xf>
    <xf numFmtId="2" fontId="15" fillId="5" borderId="3" xfId="0" applyNumberFormat="1" applyFont="1" applyFill="1" applyBorder="1" applyAlignment="1" applyProtection="1">
      <alignment horizontal="center"/>
      <protection hidden="1"/>
    </xf>
    <xf numFmtId="168" fontId="15" fillId="5" borderId="1" xfId="0" applyNumberFormat="1" applyFont="1" applyFill="1" applyBorder="1" applyAlignment="1" applyProtection="1">
      <alignment horizontal="center" vertical="center"/>
      <protection hidden="1"/>
    </xf>
    <xf numFmtId="166" fontId="15" fillId="5" borderId="1" xfId="0" applyNumberFormat="1" applyFont="1" applyFill="1" applyBorder="1" applyAlignment="1" applyProtection="1">
      <alignment horizontal="center"/>
      <protection hidden="1"/>
    </xf>
    <xf numFmtId="2" fontId="15" fillId="5" borderId="1" xfId="0" applyNumberFormat="1" applyFont="1" applyFill="1" applyBorder="1" applyAlignment="1" applyProtection="1">
      <alignment horizontal="center"/>
      <protection hidden="1"/>
    </xf>
    <xf numFmtId="2" fontId="25" fillId="7" borderId="1" xfId="0" applyNumberFormat="1" applyFont="1" applyFill="1" applyBorder="1" applyAlignment="1" applyProtection="1">
      <alignment horizontal="center"/>
      <protection hidden="1"/>
    </xf>
    <xf numFmtId="0" fontId="25" fillId="7" borderId="1" xfId="0" applyFont="1" applyFill="1" applyBorder="1" applyAlignment="1" applyProtection="1">
      <alignment horizontal="center"/>
      <protection hidden="1"/>
    </xf>
    <xf numFmtId="2" fontId="31" fillId="0" borderId="0" xfId="0" applyNumberFormat="1" applyFont="1" applyAlignment="1" applyProtection="1">
      <alignment horizontal="center"/>
      <protection hidden="1"/>
    </xf>
    <xf numFmtId="166" fontId="15" fillId="5" borderId="2" xfId="0" applyNumberFormat="1" applyFont="1" applyFill="1" applyBorder="1" applyAlignment="1" applyProtection="1">
      <alignment horizontal="center"/>
      <protection hidden="1"/>
    </xf>
    <xf numFmtId="166" fontId="15" fillId="5" borderId="13" xfId="0" applyNumberFormat="1" applyFont="1" applyFill="1" applyBorder="1" applyAlignment="1" applyProtection="1">
      <alignment horizontal="center"/>
      <protection hidden="1"/>
    </xf>
    <xf numFmtId="166" fontId="15" fillId="5" borderId="3" xfId="0" applyNumberFormat="1" applyFont="1" applyFill="1" applyBorder="1" applyAlignment="1" applyProtection="1">
      <alignment horizontal="center"/>
      <protection hidden="1"/>
    </xf>
    <xf numFmtId="0" fontId="15" fillId="5" borderId="5" xfId="0" applyFont="1" applyFill="1" applyBorder="1" applyAlignment="1" applyProtection="1">
      <alignment horizontal="center" vertical="center" wrapText="1"/>
      <protection hidden="1"/>
    </xf>
    <xf numFmtId="0" fontId="14" fillId="4" borderId="13" xfId="0" applyFont="1" applyFill="1" applyBorder="1" applyAlignment="1" applyProtection="1">
      <alignment horizontal="left" vertical="center"/>
      <protection hidden="1"/>
    </xf>
    <xf numFmtId="0" fontId="14" fillId="4" borderId="3" xfId="0" applyFont="1" applyFill="1" applyBorder="1" applyAlignment="1" applyProtection="1">
      <alignment horizontal="left" vertical="center"/>
      <protection hidden="1"/>
    </xf>
    <xf numFmtId="0" fontId="14" fillId="4" borderId="6" xfId="0" applyFont="1" applyFill="1" applyBorder="1" applyAlignment="1" applyProtection="1">
      <alignment horizontal="left" vertical="center"/>
      <protection hidden="1"/>
    </xf>
    <xf numFmtId="0" fontId="14" fillId="4" borderId="9" xfId="0" applyFont="1" applyFill="1" applyBorder="1" applyAlignment="1" applyProtection="1">
      <alignment horizontal="left" vertical="center"/>
      <protection hidden="1"/>
    </xf>
    <xf numFmtId="0" fontId="14" fillId="4" borderId="18" xfId="0" applyFont="1" applyFill="1" applyBorder="1" applyAlignment="1" applyProtection="1">
      <alignment horizontal="left" vertical="center"/>
      <protection hidden="1"/>
    </xf>
    <xf numFmtId="0" fontId="14" fillId="4" borderId="19" xfId="0" applyFont="1" applyFill="1" applyBorder="1" applyAlignment="1" applyProtection="1">
      <alignment horizontal="left" vertical="center"/>
      <protection hidden="1"/>
    </xf>
    <xf numFmtId="0" fontId="14" fillId="4" borderId="13" xfId="0" applyFont="1" applyFill="1" applyBorder="1" applyProtection="1">
      <protection hidden="1"/>
    </xf>
    <xf numFmtId="0" fontId="14" fillId="4" borderId="3" xfId="0" applyFont="1" applyFill="1" applyBorder="1" applyProtection="1">
      <protection hidden="1"/>
    </xf>
    <xf numFmtId="1" fontId="15" fillId="5" borderId="1" xfId="0" applyNumberFormat="1" applyFont="1" applyFill="1" applyBorder="1" applyAlignment="1" applyProtection="1">
      <alignment horizontal="center"/>
      <protection hidden="1"/>
    </xf>
    <xf numFmtId="0" fontId="7" fillId="9" borderId="2" xfId="0" applyFont="1" applyFill="1" applyBorder="1" applyAlignment="1" applyProtection="1">
      <alignment horizontal="center"/>
      <protection locked="0"/>
    </xf>
    <xf numFmtId="0" fontId="7" fillId="9" borderId="3" xfId="0" applyFont="1" applyFill="1" applyBorder="1" applyAlignment="1" applyProtection="1">
      <alignment horizontal="center"/>
      <protection locked="0"/>
    </xf>
    <xf numFmtId="0" fontId="8" fillId="0" borderId="2" xfId="0" applyFont="1" applyBorder="1" applyAlignment="1">
      <alignment horizontal="center"/>
    </xf>
    <xf numFmtId="0" fontId="8" fillId="0" borderId="3" xfId="0" applyFont="1" applyBorder="1" applyAlignment="1">
      <alignment horizontal="center"/>
    </xf>
    <xf numFmtId="0" fontId="8" fillId="9" borderId="1" xfId="0" applyFont="1" applyFill="1" applyBorder="1" applyAlignment="1" applyProtection="1">
      <alignment horizontal="center"/>
      <protection locked="0"/>
    </xf>
    <xf numFmtId="0" fontId="7" fillId="9" borderId="1" xfId="0" applyFont="1" applyFill="1" applyBorder="1" applyAlignment="1" applyProtection="1">
      <alignment horizontal="center"/>
      <protection locked="0"/>
    </xf>
    <xf numFmtId="0" fontId="8" fillId="0" borderId="1" xfId="0" applyFont="1" applyBorder="1" applyAlignment="1">
      <alignment horizontal="center"/>
    </xf>
    <xf numFmtId="0" fontId="7" fillId="0" borderId="1" xfId="0" applyFont="1" applyBorder="1" applyAlignment="1">
      <alignment horizontal="center"/>
    </xf>
    <xf numFmtId="0" fontId="13" fillId="0" borderId="1" xfId="0" applyFont="1" applyBorder="1" applyAlignment="1">
      <alignment horizontal="center"/>
    </xf>
  </cellXfs>
  <cellStyles count="8">
    <cellStyle name="Hiperlink" xfId="6" builtinId="8"/>
    <cellStyle name="Normal" xfId="0" builtinId="0"/>
    <cellStyle name="パーセント 2" xfId="5"/>
    <cellStyle name="標準 2" xfId="1"/>
    <cellStyle name="標準 3" xfId="2"/>
    <cellStyle name="標準 4" xfId="3"/>
    <cellStyle name="標準 5" xfId="4"/>
    <cellStyle name="標準 6" xfId="7"/>
  </cellStyles>
  <dxfs count="69">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24994659260841701"/>
        </patternFill>
      </fill>
    </dxf>
    <dxf>
      <fill>
        <patternFill>
          <bgColor theme="9" tint="-0.24994659260841701"/>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9" tint="-0.24994659260841701"/>
        </patternFill>
      </fill>
    </dxf>
    <dxf>
      <fill>
        <patternFill>
          <bgColor theme="9" tint="-0.24994659260841701"/>
        </patternFill>
      </fill>
    </dxf>
  </dxfs>
  <tableStyles count="0" defaultTableStyle="TableStyleMedium2" defaultPivotStyle="PivotStyleLight16"/>
  <colors>
    <mruColors>
      <color rgb="FF9BF39D"/>
      <color rgb="FFE5F4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Radio" firstButton="1" fmlaLink="$BC$7" noThreeD="1"/>
</file>

<file path=xl/ctrlProps/ctrlProp2.xml><?xml version="1.0" encoding="utf-8"?>
<formControlPr xmlns="http://schemas.microsoft.com/office/spreadsheetml/2009/9/main" objectType="Radio" checked="Checked"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checked="Checked" firstButton="1" fmlaLink="$BC$11" noThreeD="1"/>
</file>

<file path=xl/ctrlProps/ctrlProp5.xml><?xml version="1.0" encoding="utf-8"?>
<formControlPr xmlns="http://schemas.microsoft.com/office/spreadsheetml/2009/9/main" objectType="Radio"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BC$15" noThreeD="1"/>
</file>

<file path=xl/ctrlProps/ctrlProp8.xml><?xml version="1.0" encoding="utf-8"?>
<formControlPr xmlns="http://schemas.microsoft.com/office/spreadsheetml/2009/9/main" objectType="Radio"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BC$17" noThreeD="1"/>
</file>

<file path=xl/ctrlProps/ctrlProp11.xml><?xml version="1.0" encoding="utf-8"?>
<formControlPr xmlns="http://schemas.microsoft.com/office/spreadsheetml/2009/9/main" objectType="Radio" checked="Checked"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BC$18" noThreeD="1"/>
</file>

<file path=xl/ctrlProps/ctrlProp14.xml><?xml version="1.0" encoding="utf-8"?>
<formControlPr xmlns="http://schemas.microsoft.com/office/spreadsheetml/2009/9/main" objectType="Radio"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BC$32" noThreeD="1"/>
</file>

<file path=xl/ctrlProps/ctrlProp17.xml><?xml version="1.0" encoding="utf-8"?>
<formControlPr xmlns="http://schemas.microsoft.com/office/spreadsheetml/2009/9/main" objectType="Radio"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checked="Checked" firstButton="1" fmlaLink="$BC$36" noThreeD="1"/>
</file>

<file path=xl/ctrlProps/ctrlProp20.xml><?xml version="1.0" encoding="utf-8"?>
<formControlPr xmlns="http://schemas.microsoft.com/office/spreadsheetml/2009/9/main" objectType="Radio"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checked="Checked" firstButton="1" fmlaLink="$BC$39" noThreeD="1"/>
</file>

<file path=xl/ctrlProps/ctrlProp23.xml><?xml version="1.0" encoding="utf-8"?>
<formControlPr xmlns="http://schemas.microsoft.com/office/spreadsheetml/2009/9/main" objectType="Radio"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checked="Checked" firstButton="1" fmlaLink="$BC$40" noThreeD="1"/>
</file>

<file path=xl/ctrlProps/ctrlProp26.xml><?xml version="1.0" encoding="utf-8"?>
<formControlPr xmlns="http://schemas.microsoft.com/office/spreadsheetml/2009/9/main" objectType="Radio"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checked="Checked" firstButton="1" fmlaLink="$BC$43" noThreeD="1"/>
</file>

<file path=xl/ctrlProps/ctrlProp29.xml><?xml version="1.0" encoding="utf-8"?>
<formControlPr xmlns="http://schemas.microsoft.com/office/spreadsheetml/2009/9/main" objectType="Radio"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checked="Checked" firstButton="1" fmlaLink="$BC$45" noThreeD="1"/>
</file>

<file path=xl/ctrlProps/ctrlProp32.xml><?xml version="1.0" encoding="utf-8"?>
<formControlPr xmlns="http://schemas.microsoft.com/office/spreadsheetml/2009/9/main" objectType="Radio"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checked="Checked" firstButton="1" fmlaLink="$BC$46" noThreeD="1"/>
</file>

<file path=xl/ctrlProps/ctrlProp35.xml><?xml version="1.0" encoding="utf-8"?>
<formControlPr xmlns="http://schemas.microsoft.com/office/spreadsheetml/2009/9/main" objectType="Radio"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checked="Checked" firstButton="1" fmlaLink="$BC$7" noThreeD="1"/>
</file>

<file path=xl/ctrlProps/ctrlProp38.xml><?xml version="1.0" encoding="utf-8"?>
<formControlPr xmlns="http://schemas.microsoft.com/office/spreadsheetml/2009/9/main" objectType="Radio"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checked="Checked" firstButton="1" fmlaLink="$BC$11" noThreeD="1"/>
</file>

<file path=xl/ctrlProps/ctrlProp41.xml><?xml version="1.0" encoding="utf-8"?>
<formControlPr xmlns="http://schemas.microsoft.com/office/spreadsheetml/2009/9/main" objectType="Radio"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checked="Checked" firstButton="1" fmlaLink="$BC$14" noThreeD="1"/>
</file>

<file path=xl/ctrlProps/ctrlProp44.xml><?xml version="1.0" encoding="utf-8"?>
<formControlPr xmlns="http://schemas.microsoft.com/office/spreadsheetml/2009/9/main" objectType="Radio"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fmlaLink="$BC$15" noThreeD="1"/>
</file>

<file path=xl/ctrlProps/ctrlProp47.xml><?xml version="1.0" encoding="utf-8"?>
<formControlPr xmlns="http://schemas.microsoft.com/office/spreadsheetml/2009/9/main" objectType="Radio"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checked="Checked" firstButton="1" fmlaLink="$BC$18" noThreeD="1"/>
</file>

<file path=xl/ctrlProps/ctrlProp50.xml><?xml version="1.0" encoding="utf-8"?>
<formControlPr xmlns="http://schemas.microsoft.com/office/spreadsheetml/2009/9/main" objectType="Radio"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checked="Checked" firstButton="1" fmlaLink="$BC$21" noThreeD="1"/>
</file>

<file path=xl/ctrlProps/ctrlProp53.xml><?xml version="1.0" encoding="utf-8"?>
<formControlPr xmlns="http://schemas.microsoft.com/office/spreadsheetml/2009/9/main" objectType="Radio"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checked="Checked" firstButton="1" fmlaLink="$BC$23" noThreeD="1"/>
</file>

<file path=xl/ctrlProps/ctrlProp56.xml><?xml version="1.0" encoding="utf-8"?>
<formControlPr xmlns="http://schemas.microsoft.com/office/spreadsheetml/2009/9/main" objectType="Radio"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Radio" checked="Checked" firstButton="1" fmlaLink="$BC$31" noThreeD="1"/>
</file>

<file path=xl/ctrlProps/ctrlProp59.xml><?xml version="1.0" encoding="utf-8"?>
<formControlPr xmlns="http://schemas.microsoft.com/office/spreadsheetml/2009/9/main" objectType="Radio"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Radio" checked="Checked" firstButton="1" fmlaLink="$BC$35" noThreeD="1"/>
</file>

<file path=xl/ctrlProps/ctrlProp62.xml><?xml version="1.0" encoding="utf-8"?>
<formControlPr xmlns="http://schemas.microsoft.com/office/spreadsheetml/2009/9/main" objectType="Radio"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Radio" checked="Checked" firstButton="1" fmlaLink="$BC$38" noThreeD="1"/>
</file>

<file path=xl/ctrlProps/ctrlProp65.xml><?xml version="1.0" encoding="utf-8"?>
<formControlPr xmlns="http://schemas.microsoft.com/office/spreadsheetml/2009/9/main" objectType="Radio"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Radio" checked="Checked" firstButton="1" fmlaLink="$BC$39" noThreeD="1"/>
</file>

<file path=xl/ctrlProps/ctrlProp68.xml><?xml version="1.0" encoding="utf-8"?>
<formControlPr xmlns="http://schemas.microsoft.com/office/spreadsheetml/2009/9/main" objectType="Radio"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BC$42" noThreeD="1"/>
</file>

<file path=xl/ctrlProps/ctrlProp71.xml><?xml version="1.0" encoding="utf-8"?>
<formControlPr xmlns="http://schemas.microsoft.com/office/spreadsheetml/2009/9/main" objectType="Radio"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Radio" checked="Checked" firstButton="1" fmlaLink="$BC$43" noThreeD="1"/>
</file>

<file path=xl/ctrlProps/ctrlProp74.xml><?xml version="1.0" encoding="utf-8"?>
<formControlPr xmlns="http://schemas.microsoft.com/office/spreadsheetml/2009/9/main" objectType="Radio"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Radio" checked="Checked" firstButton="1" fmlaLink="$BC$44" noThreeD="1"/>
</file>

<file path=xl/ctrlProps/ctrlProp77.xml><?xml version="1.0" encoding="utf-8"?>
<formControlPr xmlns="http://schemas.microsoft.com/office/spreadsheetml/2009/9/main" objectType="Radio"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BC$45" noThreeD="1"/>
</file>

<file path=xl/ctrlProps/ctrlProp80.xml><?xml version="1.0" encoding="utf-8"?>
<formControlPr xmlns="http://schemas.microsoft.com/office/spreadsheetml/2009/9/main" objectType="Radio"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Radio" checked="Checked" firstButton="1" fmlaLink="$BC$48" noThreeD="1"/>
</file>

<file path=xl/ctrlProps/ctrlProp83.xml><?xml version="1.0" encoding="utf-8"?>
<formControlPr xmlns="http://schemas.microsoft.com/office/spreadsheetml/2009/9/main" objectType="Radio"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Radio" checked="Checked" firstButton="1" fmlaLink="$BC$50" noThreeD="1"/>
</file>

<file path=xl/ctrlProps/ctrlProp86.xml><?xml version="1.0" encoding="utf-8"?>
<formControlPr xmlns="http://schemas.microsoft.com/office/spreadsheetml/2009/9/main" objectType="Radio"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checked="Checked" firstButton="1" fmlaLink="$BC$7"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Radio" checked="Checked" firstButton="1" fmlaLink="$BC$13"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Radio" checked="Checked" firstButton="1" fmlaLink="$BC$19"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Radio" checked="Checked" firstButton="1" fmlaLink="$BC$28"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checked="Checked" firstButton="1" fmlaLink="$BC$34"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Radio" checked="Checked" firstButton="1" fmlaLink="$BC$39"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Radio" checked="Checked" firstButton="1" fmlaLink="$BC$40"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Radio" checked="Checked" firstButton="1" fmlaLink="$BC$43"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Radio" checked="Checked" firstButton="1" fmlaLink="$BC$7"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Radio" checked="Checked" firstButton="1" fmlaLink="$BC$16"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Radio" checked="Checked" firstButton="1" fmlaLink="$BC$26" lockText="1" noThreeD="1"/>
</file>

<file path=xl/ctrlProps/ctrlProp119.xml><?xml version="1.0" encoding="utf-8"?>
<formControlPr xmlns="http://schemas.microsoft.com/office/spreadsheetml/2009/9/main" objectType="Radio" lockText="1"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Radio" checked="Checked" firstButton="1" fmlaLink="$BC$34"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checked="Checked" firstButton="1" fmlaLink="$BC$37"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0</xdr:col>
      <xdr:colOff>418928</xdr:colOff>
      <xdr:row>10</xdr:row>
      <xdr:rowOff>70724</xdr:rowOff>
    </xdr:from>
    <xdr:to>
      <xdr:col>11</xdr:col>
      <xdr:colOff>439615</xdr:colOff>
      <xdr:row>55</xdr:row>
      <xdr:rowOff>39004</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418928" y="1785224"/>
          <a:ext cx="7564487" cy="7683530"/>
          <a:chOff x="1069106" y="49490"/>
          <a:chExt cx="7563177" cy="7680019"/>
        </a:xfrm>
      </xdr:grpSpPr>
      <xdr:sp macro="" textlink="">
        <xdr:nvSpPr>
          <xdr:cNvPr id="3" name="テキスト ボックス 5">
            <a:extLst>
              <a:ext uri="{FF2B5EF4-FFF2-40B4-BE49-F238E27FC236}">
                <a16:creationId xmlns:a16="http://schemas.microsoft.com/office/drawing/2014/main" id="{00000000-0008-0000-0000-000003000000}"/>
              </a:ext>
            </a:extLst>
          </xdr:cNvPr>
          <xdr:cNvSpPr txBox="1"/>
        </xdr:nvSpPr>
        <xdr:spPr>
          <a:xfrm>
            <a:off x="1069107" y="905532"/>
            <a:ext cx="4795993" cy="3786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100">
                <a:solidFill>
                  <a:srgbClr val="FF0000"/>
                </a:solidFill>
              </a:rPr>
              <a:t>1) </a:t>
            </a:r>
            <a:r>
              <a:rPr kumimoji="1" lang="en-US" altLang="ja-JP" sz="1100"/>
              <a:t>Select "Required test </a:t>
            </a:r>
            <a:r>
              <a:rPr lang="en-US" altLang="ja-JP" sz="1100"/>
              <a:t>only" or "With </a:t>
            </a:r>
            <a:r>
              <a:rPr kumimoji="1" lang="en-US" altLang="ja-JP" sz="1100"/>
              <a:t>Optional test"</a:t>
            </a:r>
          </a:p>
          <a:p>
            <a:r>
              <a:rPr kumimoji="1" lang="en-US" altLang="ja-JP" sz="1000"/>
              <a:t> </a:t>
            </a:r>
            <a:endParaRPr kumimoji="1" lang="ja-JP" altLang="en-US" sz="1000"/>
          </a:p>
        </xdr:txBody>
      </xdr:sp>
      <xdr:sp macro="" textlink="">
        <xdr:nvSpPr>
          <xdr:cNvPr id="4" name="テキスト ボックス 6">
            <a:extLst>
              <a:ext uri="{FF2B5EF4-FFF2-40B4-BE49-F238E27FC236}">
                <a16:creationId xmlns:a16="http://schemas.microsoft.com/office/drawing/2014/main" id="{00000000-0008-0000-0000-000004000000}"/>
              </a:ext>
            </a:extLst>
          </xdr:cNvPr>
          <xdr:cNvSpPr txBox="1"/>
        </xdr:nvSpPr>
        <xdr:spPr>
          <a:xfrm>
            <a:off x="1409833" y="2350396"/>
            <a:ext cx="4455266" cy="3786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2) </a:t>
            </a:r>
            <a:r>
              <a:rPr kumimoji="1" lang="en-US" altLang="ja-JP" sz="1100"/>
              <a:t>Select in Min performance test: "Not Measure" or "Measure"</a:t>
            </a:r>
          </a:p>
          <a:p>
            <a:r>
              <a:rPr kumimoji="1" lang="en-US" altLang="ja-JP" sz="1000"/>
              <a:t> </a:t>
            </a:r>
          </a:p>
        </xdr:txBody>
      </xdr:sp>
      <xdr:sp macro="" textlink="">
        <xdr:nvSpPr>
          <xdr:cNvPr id="5" name="テキスト ボックス 7">
            <a:extLst>
              <a:ext uri="{FF2B5EF4-FFF2-40B4-BE49-F238E27FC236}">
                <a16:creationId xmlns:a16="http://schemas.microsoft.com/office/drawing/2014/main" id="{00000000-0008-0000-0000-000005000000}"/>
              </a:ext>
            </a:extLst>
          </xdr:cNvPr>
          <xdr:cNvSpPr txBox="1"/>
        </xdr:nvSpPr>
        <xdr:spPr>
          <a:xfrm>
            <a:off x="1070970" y="1671452"/>
            <a:ext cx="3818358" cy="553998"/>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1)-1</a:t>
            </a:r>
            <a:r>
              <a:rPr kumimoji="1" lang="ja-JP" altLang="en-US" sz="1000"/>
              <a:t>　</a:t>
            </a:r>
            <a:r>
              <a:rPr lang="en-US" altLang="ja-JP" sz="1000"/>
              <a:t>Put your product Capacities / </a:t>
            </a:r>
          </a:p>
          <a:p>
            <a:r>
              <a:rPr lang="en-US" altLang="ja-JP" sz="1000"/>
              <a:t>Powers in 4 yellow columns</a:t>
            </a:r>
          </a:p>
          <a:p>
            <a:endParaRPr lang="en-US" altLang="ja-JP" sz="1000"/>
          </a:p>
        </xdr:txBody>
      </xdr:sp>
      <xdr:sp macro="" textlink="">
        <xdr:nvSpPr>
          <xdr:cNvPr id="6" name="テキスト ボックス 8">
            <a:extLst>
              <a:ext uri="{FF2B5EF4-FFF2-40B4-BE49-F238E27FC236}">
                <a16:creationId xmlns:a16="http://schemas.microsoft.com/office/drawing/2014/main" id="{00000000-0008-0000-0000-000006000000}"/>
              </a:ext>
            </a:extLst>
          </xdr:cNvPr>
          <xdr:cNvSpPr txBox="1"/>
        </xdr:nvSpPr>
        <xdr:spPr>
          <a:xfrm>
            <a:off x="1404579" y="3114851"/>
            <a:ext cx="3936068" cy="373682"/>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000" b="1">
                <a:solidFill>
                  <a:srgbClr val="FF0000"/>
                </a:solidFill>
              </a:rPr>
              <a:t>2)-1</a:t>
            </a:r>
            <a:r>
              <a:rPr kumimoji="1" lang="ja-JP" altLang="en-US" sz="1000"/>
              <a:t>　</a:t>
            </a:r>
            <a:r>
              <a:rPr lang="en-US" altLang="ja-JP" sz="1000"/>
              <a:t>Select in 29</a:t>
            </a:r>
            <a:r>
              <a:rPr lang="ja-JP" altLang="en-US" sz="1000"/>
              <a:t>℃ </a:t>
            </a:r>
            <a:r>
              <a:rPr lang="en-US" altLang="ja-JP" sz="1000"/>
              <a:t>Half: "Default" or "Measure"</a:t>
            </a:r>
          </a:p>
          <a:p>
            <a:r>
              <a:rPr lang="ja-JP" altLang="en-US" sz="1000"/>
              <a:t> </a:t>
            </a:r>
            <a:endParaRPr kumimoji="1" lang="en-US" altLang="ja-JP" sz="1000"/>
          </a:p>
        </xdr:txBody>
      </xdr:sp>
      <xdr:cxnSp macro="">
        <xdr:nvCxnSpPr>
          <xdr:cNvPr id="7" name="直線矢印コネクタ 6">
            <a:extLst>
              <a:ext uri="{FF2B5EF4-FFF2-40B4-BE49-F238E27FC236}">
                <a16:creationId xmlns:a16="http://schemas.microsoft.com/office/drawing/2014/main" id="{00000000-0008-0000-0000-000007000000}"/>
              </a:ext>
            </a:extLst>
          </xdr:cNvPr>
          <xdr:cNvCxnSpPr/>
        </xdr:nvCxnSpPr>
        <xdr:spPr>
          <a:xfrm>
            <a:off x="5607364" y="2765894"/>
            <a:ext cx="0" cy="2447221"/>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0000-000008000000}"/>
              </a:ext>
            </a:extLst>
          </xdr:cNvPr>
          <xdr:cNvCxnSpPr/>
        </xdr:nvCxnSpPr>
        <xdr:spPr>
          <a:xfrm>
            <a:off x="2049726" y="2765894"/>
            <a:ext cx="0" cy="34895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9" name="テキスト ボックス 11">
            <a:extLst>
              <a:ext uri="{FF2B5EF4-FFF2-40B4-BE49-F238E27FC236}">
                <a16:creationId xmlns:a16="http://schemas.microsoft.com/office/drawing/2014/main" id="{00000000-0008-0000-0000-000009000000}"/>
              </a:ext>
            </a:extLst>
          </xdr:cNvPr>
          <xdr:cNvSpPr txBox="1"/>
        </xdr:nvSpPr>
        <xdr:spPr>
          <a:xfrm>
            <a:off x="1409833" y="5213115"/>
            <a:ext cx="4455266" cy="5693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3) </a:t>
            </a:r>
            <a:r>
              <a:rPr kumimoji="1" lang="en-US" altLang="ja-JP" sz="1100"/>
              <a:t>Select 35</a:t>
            </a:r>
            <a:r>
              <a:rPr kumimoji="1" lang="ja-JP" altLang="en-US" sz="1100"/>
              <a:t>℃ </a:t>
            </a:r>
            <a:r>
              <a:rPr lang="en-US" altLang="ja-JP" sz="1100"/>
              <a:t>M</a:t>
            </a:r>
            <a:r>
              <a:rPr kumimoji="1" lang="en-US" altLang="ja-JP" sz="1100"/>
              <a:t>inimum and 29</a:t>
            </a:r>
            <a:r>
              <a:rPr kumimoji="1" lang="ja-JP" altLang="en-US" sz="1100"/>
              <a:t>℃ </a:t>
            </a:r>
            <a:r>
              <a:rPr kumimoji="1" lang="en-US" altLang="ja-JP" sz="1100"/>
              <a:t>Half</a:t>
            </a:r>
            <a:endParaRPr lang="en-US" altLang="ja-JP" sz="1100"/>
          </a:p>
          <a:p>
            <a:endParaRPr kumimoji="1" lang="en-US" altLang="ja-JP" sz="1000"/>
          </a:p>
          <a:p>
            <a:endParaRPr kumimoji="1" lang="en-US" altLang="ja-JP" sz="1000"/>
          </a:p>
        </xdr:txBody>
      </xdr:sp>
      <xdr:cxnSp macro="">
        <xdr:nvCxnSpPr>
          <xdr:cNvPr id="10" name="直線矢印コネクタ 9">
            <a:extLst>
              <a:ext uri="{FF2B5EF4-FFF2-40B4-BE49-F238E27FC236}">
                <a16:creationId xmlns:a16="http://schemas.microsoft.com/office/drawing/2014/main" id="{00000000-0008-0000-0000-00000A000000}"/>
              </a:ext>
            </a:extLst>
          </xdr:cNvPr>
          <xdr:cNvCxnSpPr/>
        </xdr:nvCxnSpPr>
        <xdr:spPr>
          <a:xfrm>
            <a:off x="1706758" y="1321030"/>
            <a:ext cx="0" cy="350422"/>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000-00000B000000}"/>
              </a:ext>
            </a:extLst>
          </xdr:cNvPr>
          <xdr:cNvCxnSpPr/>
        </xdr:nvCxnSpPr>
        <xdr:spPr>
          <a:xfrm>
            <a:off x="5256971" y="1321030"/>
            <a:ext cx="0" cy="1029366"/>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2" name="Picture 7">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09997" y="2843177"/>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3" name="Picture 8">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833" y="2843177"/>
            <a:ext cx="1241283"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4" name="Picture 9">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95007" y="1390416"/>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5" name="Picture 10">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70970" y="1390414"/>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16" name="直線矢印コネクタ 15">
            <a:extLst>
              <a:ext uri="{FF2B5EF4-FFF2-40B4-BE49-F238E27FC236}">
                <a16:creationId xmlns:a16="http://schemas.microsoft.com/office/drawing/2014/main" id="{00000000-0008-0000-0000-000010000000}"/>
              </a:ext>
            </a:extLst>
          </xdr:cNvPr>
          <xdr:cNvCxnSpPr/>
        </xdr:nvCxnSpPr>
        <xdr:spPr>
          <a:xfrm>
            <a:off x="2980149" y="3514961"/>
            <a:ext cx="0" cy="43756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17" name="Picture 15">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34100" y="3582732"/>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18" name="直線矢印コネクタ 17">
            <a:extLst>
              <a:ext uri="{FF2B5EF4-FFF2-40B4-BE49-F238E27FC236}">
                <a16:creationId xmlns:a16="http://schemas.microsoft.com/office/drawing/2014/main" id="{00000000-0008-0000-0000-000012000000}"/>
              </a:ext>
            </a:extLst>
          </xdr:cNvPr>
          <xdr:cNvCxnSpPr/>
        </xdr:nvCxnSpPr>
        <xdr:spPr>
          <a:xfrm>
            <a:off x="1210834" y="2225450"/>
            <a:ext cx="0" cy="4934672"/>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9" name="Picture 17">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08099" y="1771660"/>
            <a:ext cx="1672350" cy="41019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20" name="カギ線コネクタ 19">
            <a:extLst>
              <a:ext uri="{FF2B5EF4-FFF2-40B4-BE49-F238E27FC236}">
                <a16:creationId xmlns:a16="http://schemas.microsoft.com/office/drawing/2014/main" id="{00000000-0008-0000-0000-000014000000}"/>
              </a:ext>
            </a:extLst>
          </xdr:cNvPr>
          <xdr:cNvCxnSpPr>
            <a:stCxn id="46" idx="2"/>
          </xdr:cNvCxnSpPr>
        </xdr:nvCxnSpPr>
        <xdr:spPr>
          <a:xfrm rot="5400000">
            <a:off x="1294510" y="5653843"/>
            <a:ext cx="521394" cy="717632"/>
          </a:xfrm>
          <a:prstGeom prst="bentConnector2">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21" name="Picture 11">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01654" y="5852396"/>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22" name="直線矢印コネクタ 21">
            <a:extLst>
              <a:ext uri="{FF2B5EF4-FFF2-40B4-BE49-F238E27FC236}">
                <a16:creationId xmlns:a16="http://schemas.microsoft.com/office/drawing/2014/main" id="{00000000-0008-0000-0000-000016000000}"/>
              </a:ext>
            </a:extLst>
          </xdr:cNvPr>
          <xdr:cNvCxnSpPr/>
        </xdr:nvCxnSpPr>
        <xdr:spPr>
          <a:xfrm>
            <a:off x="5342247" y="5787559"/>
            <a:ext cx="0" cy="35343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23" name="Picture 15">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666805" y="5854463"/>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24" name="テキスト ボックス 31">
            <a:extLst>
              <a:ext uri="{FF2B5EF4-FFF2-40B4-BE49-F238E27FC236}">
                <a16:creationId xmlns:a16="http://schemas.microsoft.com/office/drawing/2014/main" id="{00000000-0008-0000-0000-000018000000}"/>
              </a:ext>
            </a:extLst>
          </xdr:cNvPr>
          <xdr:cNvSpPr txBox="1"/>
        </xdr:nvSpPr>
        <xdr:spPr>
          <a:xfrm>
            <a:off x="2160889" y="6134844"/>
            <a:ext cx="3719831" cy="861774"/>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3)-1</a:t>
            </a:r>
            <a:r>
              <a:rPr kumimoji="1" lang="ja-JP" altLang="en-US" sz="1000"/>
              <a:t>　</a:t>
            </a:r>
            <a:r>
              <a:rPr lang="en-US" altLang="ja-JP" sz="1000"/>
              <a:t>Put your product Capacity / Power in 2 orange columns</a:t>
            </a:r>
          </a:p>
          <a:p>
            <a:endParaRPr lang="en-US" altLang="ja-JP" sz="1000"/>
          </a:p>
          <a:p>
            <a:endParaRPr lang="en-US" altLang="ja-JP" sz="1000"/>
          </a:p>
          <a:p>
            <a:endParaRPr lang="en-US" altLang="ja-JP" sz="1000"/>
          </a:p>
          <a:p>
            <a:endParaRPr lang="en-US" altLang="ja-JP" sz="1000"/>
          </a:p>
        </xdr:txBody>
      </xdr:sp>
      <xdr:pic>
        <xdr:nvPicPr>
          <xdr:cNvPr id="25" name="Picture 20">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348454" y="6466287"/>
            <a:ext cx="1672351" cy="51117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6" name="Picture 21">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130168" y="6492642"/>
            <a:ext cx="1672351" cy="51117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7" name="Picture 33">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692239" y="1118692"/>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8" name="Picture 34">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05863" y="2576672"/>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nvGrpSpPr>
          <xdr:cNvPr id="29" name="グループ化 28">
            <a:extLst>
              <a:ext uri="{FF2B5EF4-FFF2-40B4-BE49-F238E27FC236}">
                <a16:creationId xmlns:a16="http://schemas.microsoft.com/office/drawing/2014/main" id="{00000000-0008-0000-0000-00001D000000}"/>
              </a:ext>
            </a:extLst>
          </xdr:cNvPr>
          <xdr:cNvGrpSpPr/>
        </xdr:nvGrpSpPr>
        <xdr:grpSpPr>
          <a:xfrm>
            <a:off x="1620747" y="5387449"/>
            <a:ext cx="4101387" cy="366221"/>
            <a:chOff x="2593555" y="5387449"/>
            <a:chExt cx="4101387" cy="366221"/>
          </a:xfrm>
        </xdr:grpSpPr>
        <xdr:pic>
          <xdr:nvPicPr>
            <xdr:cNvPr id="44" name="Picture 40">
              <a:extLst>
                <a:ext uri="{FF2B5EF4-FFF2-40B4-BE49-F238E27FC236}">
                  <a16:creationId xmlns:a16="http://schemas.microsoft.com/office/drawing/2014/main" id="{00000000-0008-0000-0000-00002C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74959" y="5435948"/>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45" name="Picture 40">
              <a:extLst>
                <a:ext uri="{FF2B5EF4-FFF2-40B4-BE49-F238E27FC236}">
                  <a16:creationId xmlns:a16="http://schemas.microsoft.com/office/drawing/2014/main" id="{00000000-0008-0000-00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74959" y="5597873"/>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46" name="正方形/長方形 45">
              <a:extLst>
                <a:ext uri="{FF2B5EF4-FFF2-40B4-BE49-F238E27FC236}">
                  <a16:creationId xmlns:a16="http://schemas.microsoft.com/office/drawing/2014/main" id="{00000000-0008-0000-0000-00002E000000}"/>
                </a:ext>
              </a:extLst>
            </xdr:cNvPr>
            <xdr:cNvSpPr/>
          </xdr:nvSpPr>
          <xdr:spPr>
            <a:xfrm>
              <a:off x="2593555" y="5387449"/>
              <a:ext cx="586551" cy="364513"/>
            </a:xfrm>
            <a:prstGeom prst="rect">
              <a:avLst/>
            </a:prstGeom>
          </xdr:spPr>
          <xdr:txBody>
            <a:bodyPr wrap="square">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000"/>
                <a:t>(35</a:t>
              </a:r>
              <a:r>
                <a:rPr lang="ja-JP" altLang="en-US" sz="1000"/>
                <a:t>℃</a:t>
              </a:r>
              <a:r>
                <a:rPr lang="en-US" altLang="ja-JP" sz="1000"/>
                <a:t>)</a:t>
              </a:r>
            </a:p>
            <a:p>
              <a:r>
                <a:rPr lang="en-US" altLang="ja-JP" sz="1000"/>
                <a:t>(29</a:t>
              </a:r>
              <a:r>
                <a:rPr lang="ja-JP" altLang="en-US" sz="1000"/>
                <a:t>℃</a:t>
              </a:r>
              <a:r>
                <a:rPr lang="en-US" altLang="ja-JP" sz="1000"/>
                <a:t>)</a:t>
              </a:r>
              <a:r>
                <a:rPr lang="ja-JP" altLang="en-US" sz="1000"/>
                <a:t> </a:t>
              </a:r>
            </a:p>
          </xdr:txBody>
        </xdr:sp>
      </xdr:grpSp>
      <xdr:sp macro="" textlink="">
        <xdr:nvSpPr>
          <xdr:cNvPr id="30" name="テキスト ボックス 39">
            <a:extLst>
              <a:ext uri="{FF2B5EF4-FFF2-40B4-BE49-F238E27FC236}">
                <a16:creationId xmlns:a16="http://schemas.microsoft.com/office/drawing/2014/main" id="{00000000-0008-0000-0000-00001E000000}"/>
              </a:ext>
            </a:extLst>
          </xdr:cNvPr>
          <xdr:cNvSpPr txBox="1"/>
        </xdr:nvSpPr>
        <xdr:spPr>
          <a:xfrm>
            <a:off x="1069106" y="7160122"/>
            <a:ext cx="4795991" cy="5693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 </a:t>
            </a:r>
            <a:r>
              <a:rPr lang="en-US" altLang="ja-JP" sz="1100"/>
              <a:t>Result is automatically displayed </a:t>
            </a:r>
          </a:p>
          <a:p>
            <a:endParaRPr kumimoji="1" lang="en-US" altLang="ja-JP" sz="1000"/>
          </a:p>
          <a:p>
            <a:endParaRPr kumimoji="1" lang="en-US" altLang="ja-JP" sz="1000"/>
          </a:p>
        </xdr:txBody>
      </xdr:sp>
      <xdr:grpSp>
        <xdr:nvGrpSpPr>
          <xdr:cNvPr id="31" name="グループ化 30">
            <a:extLst>
              <a:ext uri="{FF2B5EF4-FFF2-40B4-BE49-F238E27FC236}">
                <a16:creationId xmlns:a16="http://schemas.microsoft.com/office/drawing/2014/main" id="{00000000-0008-0000-0000-00001F000000}"/>
              </a:ext>
            </a:extLst>
          </xdr:cNvPr>
          <xdr:cNvGrpSpPr/>
        </xdr:nvGrpSpPr>
        <xdr:grpSpPr>
          <a:xfrm>
            <a:off x="1401654" y="3954850"/>
            <a:ext cx="1771649" cy="1015663"/>
            <a:chOff x="3368763" y="3954850"/>
            <a:chExt cx="1771649" cy="1015663"/>
          </a:xfrm>
        </xdr:grpSpPr>
        <xdr:sp macro="" textlink="">
          <xdr:nvSpPr>
            <xdr:cNvPr id="42" name="テキスト ボックス 20">
              <a:extLst>
                <a:ext uri="{FF2B5EF4-FFF2-40B4-BE49-F238E27FC236}">
                  <a16:creationId xmlns:a16="http://schemas.microsoft.com/office/drawing/2014/main" id="{00000000-0008-0000-0000-00002A000000}"/>
                </a:ext>
              </a:extLst>
            </xdr:cNvPr>
            <xdr:cNvSpPr txBox="1"/>
          </xdr:nvSpPr>
          <xdr:spPr>
            <a:xfrm>
              <a:off x="3368763" y="3954850"/>
              <a:ext cx="1771649" cy="1015663"/>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2)-1-1</a:t>
              </a:r>
              <a:r>
                <a:rPr kumimoji="1" lang="ja-JP" altLang="en-US" sz="1000"/>
                <a:t>　</a:t>
              </a:r>
              <a:r>
                <a:rPr lang="en-US" altLang="ja-JP" sz="1000"/>
                <a:t>Put your product </a:t>
              </a:r>
            </a:p>
            <a:p>
              <a:r>
                <a:rPr lang="en-US" altLang="ja-JP" sz="1000"/>
                <a:t>Capacity / Power </a:t>
              </a:r>
            </a:p>
            <a:p>
              <a:r>
                <a:rPr lang="en-US" altLang="ja-JP" sz="1000"/>
                <a:t>in 2 orange columns</a:t>
              </a:r>
            </a:p>
            <a:p>
              <a:endParaRPr lang="en-US" altLang="ja-JP" sz="1000"/>
            </a:p>
            <a:p>
              <a:endParaRPr lang="en-US" altLang="ja-JP" sz="1000"/>
            </a:p>
            <a:p>
              <a:endParaRPr lang="en-US" altLang="ja-JP" sz="1000"/>
            </a:p>
          </xdr:txBody>
        </xdr:sp>
        <xdr:pic>
          <xdr:nvPicPr>
            <xdr:cNvPr id="43" name="Picture 16">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27441" y="4513879"/>
              <a:ext cx="1672351" cy="41019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pic>
        <xdr:nvPicPr>
          <xdr:cNvPr id="32" name="Picture 41">
            <a:extLst>
              <a:ext uri="{FF2B5EF4-FFF2-40B4-BE49-F238E27FC236}">
                <a16:creationId xmlns:a16="http://schemas.microsoft.com/office/drawing/2014/main" id="{00000000-0008-0000-00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884163" y="7215138"/>
            <a:ext cx="1872747" cy="45935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33" name="テキスト ボックス 66">
            <a:extLst>
              <a:ext uri="{FF2B5EF4-FFF2-40B4-BE49-F238E27FC236}">
                <a16:creationId xmlns:a16="http://schemas.microsoft.com/office/drawing/2014/main" id="{00000000-0008-0000-0000-000021000000}"/>
              </a:ext>
            </a:extLst>
          </xdr:cNvPr>
          <xdr:cNvSpPr txBox="1"/>
        </xdr:nvSpPr>
        <xdr:spPr>
          <a:xfrm>
            <a:off x="1190943" y="546169"/>
            <a:ext cx="4344464" cy="308239"/>
          </a:xfrm>
          <a:prstGeom prst="rect">
            <a:avLst/>
          </a:prstGeom>
          <a:noFill/>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600" i="1"/>
              <a:t>1. Example of variable units (T1-variable)</a:t>
            </a:r>
            <a:endParaRPr kumimoji="1" lang="ja-JP" altLang="en-US" sz="1600" i="1"/>
          </a:p>
        </xdr:txBody>
      </xdr:sp>
      <xdr:pic>
        <xdr:nvPicPr>
          <xdr:cNvPr id="34" name="Picture 2">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78995" y="3330146"/>
            <a:ext cx="3624554" cy="15599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35" name="直線矢印コネクタ 34">
            <a:extLst>
              <a:ext uri="{FF2B5EF4-FFF2-40B4-BE49-F238E27FC236}">
                <a16:creationId xmlns:a16="http://schemas.microsoft.com/office/drawing/2014/main" id="{00000000-0008-0000-0000-000023000000}"/>
              </a:ext>
            </a:extLst>
          </xdr:cNvPr>
          <xdr:cNvCxnSpPr>
            <a:stCxn id="42" idx="1"/>
          </xdr:cNvCxnSpPr>
        </xdr:nvCxnSpPr>
        <xdr:spPr>
          <a:xfrm flipH="1">
            <a:off x="1210834" y="4462682"/>
            <a:ext cx="190820" cy="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36" name="テキスト ボックス 105">
            <a:extLst>
              <a:ext uri="{FF2B5EF4-FFF2-40B4-BE49-F238E27FC236}">
                <a16:creationId xmlns:a16="http://schemas.microsoft.com/office/drawing/2014/main" id="{00000000-0008-0000-0000-000024000000}"/>
              </a:ext>
            </a:extLst>
          </xdr:cNvPr>
          <xdr:cNvSpPr txBox="1"/>
        </xdr:nvSpPr>
        <xdr:spPr>
          <a:xfrm>
            <a:off x="3502228" y="3952528"/>
            <a:ext cx="2429578" cy="1077397"/>
          </a:xfrm>
          <a:prstGeom prst="rect">
            <a:avLst/>
          </a:prstGeom>
          <a:solidFill>
            <a:schemeClr val="bg1"/>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2)-1-2</a:t>
            </a:r>
            <a:r>
              <a:rPr kumimoji="1" lang="ja-JP" altLang="en-US" sz="1000"/>
              <a:t>　</a:t>
            </a:r>
            <a:r>
              <a:rPr lang="en-US" altLang="ja-JP" sz="1000"/>
              <a:t> If the minimum capacity test is measured, min(35) test is conducted first. </a:t>
            </a:r>
          </a:p>
          <a:p>
            <a:endParaRPr lang="en-US" altLang="ja-JP" sz="1000"/>
          </a:p>
          <a:p>
            <a:r>
              <a:rPr lang="en-US" altLang="ja-JP" sz="1000"/>
              <a:t>Measure is automatically selected, and Default is not allowed to be selected.</a:t>
            </a:r>
          </a:p>
        </xdr:txBody>
      </xdr:sp>
      <xdr:pic>
        <xdr:nvPicPr>
          <xdr:cNvPr id="37" name="Picture 4">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547239" y="4334999"/>
            <a:ext cx="2255647" cy="145804"/>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38" name="カギ線コネクタ 37">
            <a:extLst>
              <a:ext uri="{FF2B5EF4-FFF2-40B4-BE49-F238E27FC236}">
                <a16:creationId xmlns:a16="http://schemas.microsoft.com/office/drawing/2014/main" id="{00000000-0008-0000-0000-000026000000}"/>
              </a:ext>
            </a:extLst>
          </xdr:cNvPr>
          <xdr:cNvCxnSpPr/>
        </xdr:nvCxnSpPr>
        <xdr:spPr>
          <a:xfrm rot="10800000" flipV="1">
            <a:off x="1196389" y="3518505"/>
            <a:ext cx="661193" cy="277039"/>
          </a:xfrm>
          <a:prstGeom prst="bentConnector3">
            <a:avLst>
              <a:gd name="adj1" fmla="val 50000"/>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39" name="Picture 11">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09833" y="3582730"/>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40" name="テキスト ボックス 142">
            <a:extLst>
              <a:ext uri="{FF2B5EF4-FFF2-40B4-BE49-F238E27FC236}">
                <a16:creationId xmlns:a16="http://schemas.microsoft.com/office/drawing/2014/main" id="{00000000-0008-0000-0000-000028000000}"/>
              </a:ext>
            </a:extLst>
          </xdr:cNvPr>
          <xdr:cNvSpPr txBox="1"/>
        </xdr:nvSpPr>
        <xdr:spPr>
          <a:xfrm>
            <a:off x="3817675" y="49490"/>
            <a:ext cx="4814608" cy="336434"/>
          </a:xfrm>
          <a:prstGeom prst="rect">
            <a:avLst/>
          </a:prstGeom>
          <a:solidFill>
            <a:sysClr val="window" lastClr="FFFFFF"/>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800"/>
              <a:t>Instruction manual for calculation tool</a:t>
            </a:r>
            <a:endParaRPr kumimoji="1" lang="ja-JP" altLang="en-US" sz="1800"/>
          </a:p>
        </xdr:txBody>
      </xdr:sp>
      <xdr:cxnSp macro="">
        <xdr:nvCxnSpPr>
          <xdr:cNvPr id="41" name="直線矢印コネクタ 40">
            <a:extLst>
              <a:ext uri="{FF2B5EF4-FFF2-40B4-BE49-F238E27FC236}">
                <a16:creationId xmlns:a16="http://schemas.microsoft.com/office/drawing/2014/main" id="{00000000-0008-0000-0000-000029000000}"/>
              </a:ext>
            </a:extLst>
          </xdr:cNvPr>
          <xdr:cNvCxnSpPr/>
        </xdr:nvCxnSpPr>
        <xdr:spPr>
          <a:xfrm flipH="1">
            <a:off x="1210835" y="6583413"/>
            <a:ext cx="954751" cy="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376194</xdr:colOff>
      <xdr:row>0</xdr:row>
      <xdr:rowOff>22412</xdr:rowOff>
    </xdr:from>
    <xdr:to>
      <xdr:col>15</xdr:col>
      <xdr:colOff>267336</xdr:colOff>
      <xdr:row>9</xdr:row>
      <xdr:rowOff>104927</xdr:rowOff>
    </xdr:to>
    <xdr:sp macro="" textlink="">
      <xdr:nvSpPr>
        <xdr:cNvPr id="47" name="テキスト ボックス 104">
          <a:extLst>
            <a:ext uri="{FF2B5EF4-FFF2-40B4-BE49-F238E27FC236}">
              <a16:creationId xmlns:a16="http://schemas.microsoft.com/office/drawing/2014/main" id="{00000000-0008-0000-0000-00002F000000}"/>
            </a:ext>
          </a:extLst>
        </xdr:cNvPr>
        <xdr:cNvSpPr txBox="1"/>
      </xdr:nvSpPr>
      <xdr:spPr>
        <a:xfrm>
          <a:off x="376194" y="22412"/>
          <a:ext cx="10178142" cy="1625565"/>
        </a:xfrm>
        <a:prstGeom prst="rect">
          <a:avLst/>
        </a:prstGeom>
        <a:solidFill>
          <a:schemeClr val="bg1"/>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200"/>
            <a:t>Warnings:</a:t>
          </a:r>
          <a:endParaRPr kumimoji="1" lang="en-US" altLang="ja-JP" sz="1200"/>
        </a:p>
        <a:p>
          <a:pPr marL="285750" indent="-285750">
            <a:buFont typeface="Arial" panose="020B0604020202020204" pitchFamily="34" charset="0"/>
            <a:buChar char="•"/>
          </a:pPr>
          <a:r>
            <a:rPr lang="en-US" altLang="ja-JP" sz="1200"/>
            <a:t>This calculation tool supports the expert user of the standards, those who want to review the products performance and to understand the correct interpretation of the equations and calculation steps in this standard.</a:t>
          </a:r>
        </a:p>
        <a:p>
          <a:pPr marL="285750" indent="-285750">
            <a:buFont typeface="Arial" panose="020B0604020202020204" pitchFamily="34" charset="0"/>
            <a:buChar char="•"/>
          </a:pPr>
          <a:r>
            <a:rPr lang="en-US" altLang="ja-JP" sz="1200"/>
            <a:t>A</a:t>
          </a:r>
          <a:r>
            <a:rPr kumimoji="1" lang="en-US" altLang="ja-JP" sz="1200"/>
            <a:t>ny responsibility arising from the use of this calculation tool </a:t>
          </a:r>
          <a:r>
            <a:rPr lang="en-US" altLang="ja-JP" sz="1200"/>
            <a:t>lies with the user and this calculation tool cannot be applied directly to the regulation / certification for any countries.</a:t>
          </a:r>
        </a:p>
        <a:p>
          <a:pPr marL="285750" indent="-285750">
            <a:buFont typeface="Arial" panose="020B0604020202020204" pitchFamily="34" charset="0"/>
            <a:buChar char="•"/>
          </a:pPr>
          <a:r>
            <a:rPr lang="en-US" altLang="ja-JP" sz="1200"/>
            <a:t>In case of differences between this calculation tool and your official calculation tool, this calculation tool should be regarded as the reference.</a:t>
          </a:r>
        </a:p>
        <a:p>
          <a:pPr marL="285750" indent="-285750">
            <a:buFont typeface="Arial" panose="020B0604020202020204" pitchFamily="34" charset="0"/>
            <a:buChar char="•"/>
          </a:pPr>
          <a:r>
            <a:rPr lang="en-US" altLang="ja-JP" sz="1200"/>
            <a:t>The user is not allowed to redistirbute a modified version of this calculation tool.</a:t>
          </a:r>
        </a:p>
        <a:p>
          <a:pPr marL="285750" indent="-285750">
            <a:buFont typeface="Arial" panose="020B0604020202020204" pitchFamily="34" charset="0"/>
            <a:buChar char="•"/>
          </a:pPr>
          <a:r>
            <a:rPr lang="en-US" altLang="ja-JP" sz="1200"/>
            <a:t>The author(s) would appreciate your feed back on the calculation tool via ISO TC86 SC6 secretary.</a:t>
          </a:r>
        </a:p>
      </xdr:txBody>
    </xdr:sp>
    <xdr:clientData/>
  </xdr:twoCellAnchor>
  <xdr:twoCellAnchor>
    <xdr:from>
      <xdr:col>7</xdr:col>
      <xdr:colOff>565467</xdr:colOff>
      <xdr:row>12</xdr:row>
      <xdr:rowOff>156451</xdr:rowOff>
    </xdr:from>
    <xdr:to>
      <xdr:col>16</xdr:col>
      <xdr:colOff>95251</xdr:colOff>
      <xdr:row>32</xdr:row>
      <xdr:rowOff>105914</xdr:rowOff>
    </xdr:to>
    <xdr:grpSp>
      <xdr:nvGrpSpPr>
        <xdr:cNvPr id="48" name="グループ化 47">
          <a:extLst>
            <a:ext uri="{FF2B5EF4-FFF2-40B4-BE49-F238E27FC236}">
              <a16:creationId xmlns:a16="http://schemas.microsoft.com/office/drawing/2014/main" id="{00000000-0008-0000-0000-000030000000}"/>
            </a:ext>
          </a:extLst>
        </xdr:cNvPr>
        <xdr:cNvGrpSpPr/>
      </xdr:nvGrpSpPr>
      <xdr:grpSpPr>
        <a:xfrm>
          <a:off x="5366067" y="2213851"/>
          <a:ext cx="5701984" cy="3378463"/>
          <a:chOff x="932216" y="8304698"/>
          <a:chExt cx="5694369" cy="3423533"/>
        </a:xfrm>
      </xdr:grpSpPr>
      <xdr:sp macro="" textlink="">
        <xdr:nvSpPr>
          <xdr:cNvPr id="49" name="テキスト ボックス 113">
            <a:extLst>
              <a:ext uri="{FF2B5EF4-FFF2-40B4-BE49-F238E27FC236}">
                <a16:creationId xmlns:a16="http://schemas.microsoft.com/office/drawing/2014/main" id="{00000000-0008-0000-0000-000031000000}"/>
              </a:ext>
            </a:extLst>
          </xdr:cNvPr>
          <xdr:cNvSpPr txBox="1"/>
        </xdr:nvSpPr>
        <xdr:spPr>
          <a:xfrm>
            <a:off x="1336933" y="9521372"/>
            <a:ext cx="4474342" cy="525983"/>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2) </a:t>
            </a:r>
            <a:r>
              <a:rPr lang="en-US" altLang="ja-JP" sz="1100"/>
              <a:t>Select “29</a:t>
            </a:r>
            <a:r>
              <a:rPr lang="ja-JP" altLang="en-US" sz="1100"/>
              <a:t>℃ </a:t>
            </a:r>
            <a:r>
              <a:rPr lang="en-US" altLang="ja-JP" sz="1100"/>
              <a:t>Low humidity and cyclic condition)"</a:t>
            </a:r>
          </a:p>
          <a:p>
            <a:endParaRPr kumimoji="1" lang="en-US" altLang="ja-JP" sz="1000"/>
          </a:p>
          <a:p>
            <a:endParaRPr kumimoji="1" lang="en-US" altLang="ja-JP" sz="1000"/>
          </a:p>
        </xdr:txBody>
      </xdr:sp>
      <xdr:cxnSp macro="">
        <xdr:nvCxnSpPr>
          <xdr:cNvPr id="50" name="直線矢印コネクタ 49">
            <a:extLst>
              <a:ext uri="{FF2B5EF4-FFF2-40B4-BE49-F238E27FC236}">
                <a16:creationId xmlns:a16="http://schemas.microsoft.com/office/drawing/2014/main" id="{00000000-0008-0000-0000-000032000000}"/>
              </a:ext>
            </a:extLst>
          </xdr:cNvPr>
          <xdr:cNvCxnSpPr/>
        </xdr:nvCxnSpPr>
        <xdr:spPr>
          <a:xfrm>
            <a:off x="5234757" y="10091096"/>
            <a:ext cx="0" cy="384484"/>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51" name="Picture 15">
            <a:extLst>
              <a:ext uri="{FF2B5EF4-FFF2-40B4-BE49-F238E27FC236}">
                <a16:creationId xmlns:a16="http://schemas.microsoft.com/office/drawing/2014/main" id="{00000000-0008-0000-0000-00003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584576" y="10184219"/>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52" name="テキスト ボックス 126">
            <a:extLst>
              <a:ext uri="{FF2B5EF4-FFF2-40B4-BE49-F238E27FC236}">
                <a16:creationId xmlns:a16="http://schemas.microsoft.com/office/drawing/2014/main" id="{00000000-0008-0000-0000-000034000000}"/>
              </a:ext>
            </a:extLst>
          </xdr:cNvPr>
          <xdr:cNvSpPr txBox="1"/>
        </xdr:nvSpPr>
        <xdr:spPr>
          <a:xfrm>
            <a:off x="3345409" y="10469366"/>
            <a:ext cx="2497267" cy="7452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nSpc>
                <a:spcPts val="1000"/>
              </a:lnSpc>
            </a:pPr>
            <a:r>
              <a:rPr lang="en-US" altLang="ja-JP" sz="1100" b="1">
                <a:solidFill>
                  <a:srgbClr val="FF0000"/>
                </a:solidFill>
              </a:rPr>
              <a:t>3)-1</a:t>
            </a:r>
            <a:r>
              <a:rPr lang="ja-JP" altLang="en-US" sz="1100" b="1">
                <a:solidFill>
                  <a:srgbClr val="FF0000"/>
                </a:solidFill>
              </a:rPr>
              <a:t> </a:t>
            </a:r>
            <a:r>
              <a:rPr lang="en-US" altLang="ja-JP" sz="1000"/>
              <a:t>Put cyclic test result in orange columns</a:t>
            </a:r>
          </a:p>
          <a:p>
            <a:endParaRPr lang="en-US" altLang="ja-JP" sz="1000"/>
          </a:p>
          <a:p>
            <a:endParaRPr lang="en-US" altLang="ja-JP" sz="1000"/>
          </a:p>
          <a:p>
            <a:endParaRPr lang="en-US" altLang="ja-JP" sz="1000"/>
          </a:p>
        </xdr:txBody>
      </xdr:sp>
      <xdr:sp macro="" textlink="">
        <xdr:nvSpPr>
          <xdr:cNvPr id="53" name="テキスト ボックス 135">
            <a:extLst>
              <a:ext uri="{FF2B5EF4-FFF2-40B4-BE49-F238E27FC236}">
                <a16:creationId xmlns:a16="http://schemas.microsoft.com/office/drawing/2014/main" id="{00000000-0008-0000-0000-000035000000}"/>
              </a:ext>
            </a:extLst>
          </xdr:cNvPr>
          <xdr:cNvSpPr txBox="1"/>
        </xdr:nvSpPr>
        <xdr:spPr>
          <a:xfrm>
            <a:off x="1420048" y="8586650"/>
            <a:ext cx="4302086" cy="226615"/>
          </a:xfrm>
          <a:prstGeom prst="rect">
            <a:avLst/>
          </a:prstGeom>
          <a:noFill/>
          <a:ln>
            <a:noFill/>
          </a:ln>
        </xdr:spPr>
        <xdr:txBody>
          <a:bodyPr wrap="square" lIns="36000" rIns="36000"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lang="en-US" altLang="ja-JP" sz="1000"/>
              <a:t>(Remark) Cyclic test is not allowed for variable unit</a:t>
            </a:r>
            <a:endParaRPr kumimoji="1" lang="ja-JP" altLang="en-US" sz="1000"/>
          </a:p>
        </xdr:txBody>
      </xdr:sp>
      <xdr:sp macro="" textlink="">
        <xdr:nvSpPr>
          <xdr:cNvPr id="54" name="テキスト ボックス 143">
            <a:extLst>
              <a:ext uri="{FF2B5EF4-FFF2-40B4-BE49-F238E27FC236}">
                <a16:creationId xmlns:a16="http://schemas.microsoft.com/office/drawing/2014/main" id="{00000000-0008-0000-0000-000036000000}"/>
              </a:ext>
            </a:extLst>
          </xdr:cNvPr>
          <xdr:cNvSpPr txBox="1"/>
        </xdr:nvSpPr>
        <xdr:spPr>
          <a:xfrm>
            <a:off x="932216" y="8304698"/>
            <a:ext cx="5694369" cy="312156"/>
          </a:xfrm>
          <a:prstGeom prst="rect">
            <a:avLst/>
          </a:prstGeom>
          <a:noFill/>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600" i="1"/>
              <a:t>2. Example of Low humidity and Cyclic condition (</a:t>
            </a:r>
            <a:r>
              <a:rPr kumimoji="1" lang="en-US" altLang="ja-JP" sz="1600" i="1" u="sng"/>
              <a:t>T1-Fixed</a:t>
            </a:r>
            <a:r>
              <a:rPr kumimoji="1" lang="en-US" altLang="ja-JP" sz="1600" i="1"/>
              <a:t>)</a:t>
            </a:r>
            <a:endParaRPr kumimoji="1" lang="ja-JP" altLang="en-US" sz="1600" i="1"/>
          </a:p>
        </xdr:txBody>
      </xdr:sp>
      <xdr:cxnSp macro="">
        <xdr:nvCxnSpPr>
          <xdr:cNvPr id="55" name="直線矢印コネクタ 54">
            <a:extLst>
              <a:ext uri="{FF2B5EF4-FFF2-40B4-BE49-F238E27FC236}">
                <a16:creationId xmlns:a16="http://schemas.microsoft.com/office/drawing/2014/main" id="{00000000-0008-0000-0000-000037000000}"/>
              </a:ext>
            </a:extLst>
          </xdr:cNvPr>
          <xdr:cNvCxnSpPr/>
        </xdr:nvCxnSpPr>
        <xdr:spPr>
          <a:xfrm>
            <a:off x="2486411" y="10091096"/>
            <a:ext cx="0" cy="1206248"/>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56" name="Picture 11">
            <a:extLst>
              <a:ext uri="{FF2B5EF4-FFF2-40B4-BE49-F238E27FC236}">
                <a16:creationId xmlns:a16="http://schemas.microsoft.com/office/drawing/2014/main" id="{00000000-0008-0000-00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48272" y="10186604"/>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57" name="テキスト ボックス 159">
            <a:extLst>
              <a:ext uri="{FF2B5EF4-FFF2-40B4-BE49-F238E27FC236}">
                <a16:creationId xmlns:a16="http://schemas.microsoft.com/office/drawing/2014/main" id="{00000000-0008-0000-0000-000039000000}"/>
              </a:ext>
            </a:extLst>
          </xdr:cNvPr>
          <xdr:cNvSpPr txBox="1"/>
        </xdr:nvSpPr>
        <xdr:spPr>
          <a:xfrm>
            <a:off x="1522845" y="11297343"/>
            <a:ext cx="1702175" cy="39775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4)-1 </a:t>
            </a:r>
            <a:r>
              <a:rPr lang="en-US" altLang="ja-JP" sz="1100"/>
              <a:t>CD 0.25 is automatically selected.</a:t>
            </a:r>
          </a:p>
        </xdr:txBody>
      </xdr:sp>
      <xdr:sp macro="" textlink="">
        <xdr:nvSpPr>
          <xdr:cNvPr id="58" name="テキスト ボックス 167">
            <a:extLst>
              <a:ext uri="{FF2B5EF4-FFF2-40B4-BE49-F238E27FC236}">
                <a16:creationId xmlns:a16="http://schemas.microsoft.com/office/drawing/2014/main" id="{00000000-0008-0000-0000-00003A000000}"/>
              </a:ext>
            </a:extLst>
          </xdr:cNvPr>
          <xdr:cNvSpPr txBox="1"/>
        </xdr:nvSpPr>
        <xdr:spPr>
          <a:xfrm>
            <a:off x="1336933" y="8884481"/>
            <a:ext cx="4474342" cy="26161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1) </a:t>
            </a:r>
            <a:r>
              <a:rPr lang="en-US" altLang="ja-JP" sz="1100"/>
              <a:t>Select “With Optional test”</a:t>
            </a:r>
          </a:p>
        </xdr:txBody>
      </xdr:sp>
      <xdr:cxnSp macro="">
        <xdr:nvCxnSpPr>
          <xdr:cNvPr id="59" name="直線矢印コネクタ 58">
            <a:extLst>
              <a:ext uri="{FF2B5EF4-FFF2-40B4-BE49-F238E27FC236}">
                <a16:creationId xmlns:a16="http://schemas.microsoft.com/office/drawing/2014/main" id="{00000000-0008-0000-0000-00003B000000}"/>
              </a:ext>
            </a:extLst>
          </xdr:cNvPr>
          <xdr:cNvCxnSpPr/>
        </xdr:nvCxnSpPr>
        <xdr:spPr>
          <a:xfrm>
            <a:off x="1975073" y="9146091"/>
            <a:ext cx="0" cy="384484"/>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60" name="Picture 8">
            <a:extLst>
              <a:ext uri="{FF2B5EF4-FFF2-40B4-BE49-F238E27FC236}">
                <a16:creationId xmlns:a16="http://schemas.microsoft.com/office/drawing/2014/main" id="{00000000-0008-0000-0000-00003C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895155" y="9754696"/>
            <a:ext cx="3614884" cy="30200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61" name="Picture 9">
            <a:extLst>
              <a:ext uri="{FF2B5EF4-FFF2-40B4-BE49-F238E27FC236}">
                <a16:creationId xmlns:a16="http://schemas.microsoft.com/office/drawing/2014/main" id="{00000000-0008-0000-0000-00003D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581931" y="10700801"/>
            <a:ext cx="2185819" cy="40417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62" name="テキスト ボックス 172">
            <a:extLst>
              <a:ext uri="{FF2B5EF4-FFF2-40B4-BE49-F238E27FC236}">
                <a16:creationId xmlns:a16="http://schemas.microsoft.com/office/drawing/2014/main" id="{00000000-0008-0000-0000-00003E000000}"/>
              </a:ext>
            </a:extLst>
          </xdr:cNvPr>
          <xdr:cNvSpPr txBox="1"/>
        </xdr:nvSpPr>
        <xdr:spPr>
          <a:xfrm>
            <a:off x="3345409" y="11297344"/>
            <a:ext cx="2487206" cy="4308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4)-2 </a:t>
            </a:r>
            <a:r>
              <a:rPr lang="en-US" altLang="ja-JP" sz="1100"/>
              <a:t>specific CD value is calculated.</a:t>
            </a:r>
          </a:p>
          <a:p>
            <a:endParaRPr lang="en-US" altLang="ja-JP" sz="1100"/>
          </a:p>
        </xdr:txBody>
      </xdr:sp>
      <xdr:pic>
        <xdr:nvPicPr>
          <xdr:cNvPr id="63" name="Picture 10">
            <a:extLst>
              <a:ext uri="{FF2B5EF4-FFF2-40B4-BE49-F238E27FC236}">
                <a16:creationId xmlns:a16="http://schemas.microsoft.com/office/drawing/2014/main" id="{00000000-0008-0000-0000-00003F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088030" y="11532015"/>
            <a:ext cx="1685925" cy="1619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clientData/>
  </xdr:twoCellAnchor>
  <xdr:twoCellAnchor>
    <xdr:from>
      <xdr:col>0</xdr:col>
      <xdr:colOff>131885</xdr:colOff>
      <xdr:row>9</xdr:row>
      <xdr:rowOff>146539</xdr:rowOff>
    </xdr:from>
    <xdr:to>
      <xdr:col>16</xdr:col>
      <xdr:colOff>58615</xdr:colOff>
      <xdr:row>55</xdr:row>
      <xdr:rowOff>183173</xdr:rowOff>
    </xdr:to>
    <xdr:sp macro="" textlink="">
      <xdr:nvSpPr>
        <xdr:cNvPr id="64" name="Rectangle 1">
          <a:extLst>
            <a:ext uri="{FF2B5EF4-FFF2-40B4-BE49-F238E27FC236}">
              <a16:creationId xmlns:a16="http://schemas.microsoft.com/office/drawing/2014/main" id="{00000000-0008-0000-0000-000040000000}"/>
            </a:ext>
          </a:extLst>
        </xdr:cNvPr>
        <xdr:cNvSpPr/>
      </xdr:nvSpPr>
      <xdr:spPr>
        <a:xfrm>
          <a:off x="131885" y="1689589"/>
          <a:ext cx="10899530" cy="7913809"/>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578827</xdr:colOff>
      <xdr:row>12</xdr:row>
      <xdr:rowOff>124558</xdr:rowOff>
    </xdr:from>
    <xdr:to>
      <xdr:col>7</xdr:col>
      <xdr:colOff>593481</xdr:colOff>
      <xdr:row>55</xdr:row>
      <xdr:rowOff>175846</xdr:rowOff>
    </xdr:to>
    <xdr:cxnSp macro="">
      <xdr:nvCxnSpPr>
        <xdr:cNvPr id="65" name="Straight Connector 65">
          <a:extLst>
            <a:ext uri="{FF2B5EF4-FFF2-40B4-BE49-F238E27FC236}">
              <a16:creationId xmlns:a16="http://schemas.microsoft.com/office/drawing/2014/main" id="{00000000-0008-0000-0000-000041000000}"/>
            </a:ext>
          </a:extLst>
        </xdr:cNvPr>
        <xdr:cNvCxnSpPr/>
      </xdr:nvCxnSpPr>
      <xdr:spPr>
        <a:xfrm flipH="1">
          <a:off x="5379427" y="2181958"/>
          <a:ext cx="14654" cy="7423638"/>
        </a:xfrm>
        <a:prstGeom prst="line">
          <a:avLst/>
        </a:prstGeom>
        <a:ln w="28575">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15875</xdr:colOff>
      <xdr:row>27</xdr:row>
      <xdr:rowOff>114300</xdr:rowOff>
    </xdr:from>
    <xdr:to>
      <xdr:col>55</xdr:col>
      <xdr:colOff>111479</xdr:colOff>
      <xdr:row>55</xdr:row>
      <xdr:rowOff>76200</xdr:rowOff>
    </xdr:to>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225425" y="4400550"/>
          <a:ext cx="10963629" cy="422910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149224</xdr:colOff>
      <xdr:row>3</xdr:row>
      <xdr:rowOff>117474</xdr:rowOff>
    </xdr:from>
    <xdr:to>
      <xdr:col>55</xdr:col>
      <xdr:colOff>47624</xdr:colOff>
      <xdr:row>25</xdr:row>
      <xdr:rowOff>104775</xdr:rowOff>
    </xdr:to>
    <xdr:sp macro="" textlink="">
      <xdr:nvSpPr>
        <xdr:cNvPr id="8" name="角丸四角形 7">
          <a:extLst>
            <a:ext uri="{FF2B5EF4-FFF2-40B4-BE49-F238E27FC236}">
              <a16:creationId xmlns:a16="http://schemas.microsoft.com/office/drawing/2014/main" id="{00000000-0008-0000-0100-000008000000}"/>
            </a:ext>
          </a:extLst>
        </xdr:cNvPr>
        <xdr:cNvSpPr/>
      </xdr:nvSpPr>
      <xdr:spPr bwMode="auto">
        <a:xfrm>
          <a:off x="149224" y="898524"/>
          <a:ext cx="11395075" cy="334010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26</xdr:row>
      <xdr:rowOff>101600</xdr:rowOff>
    </xdr:from>
    <xdr:to>
      <xdr:col>13</xdr:col>
      <xdr:colOff>63500</xdr:colOff>
      <xdr:row>28</xdr:row>
      <xdr:rowOff>92075</xdr:rowOff>
    </xdr:to>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363855" y="5321300"/>
          <a:ext cx="2052320"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10" name="テキスト ボックス 9">
          <a:extLst>
            <a:ext uri="{FF2B5EF4-FFF2-40B4-BE49-F238E27FC236}">
              <a16:creationId xmlns:a16="http://schemas.microsoft.com/office/drawing/2014/main" id="{00000000-0008-0000-0100-00000A000000}"/>
            </a:ext>
          </a:extLst>
        </xdr:cNvPr>
        <xdr:cNvSpPr txBox="1"/>
      </xdr:nvSpPr>
      <xdr:spPr>
        <a:xfrm>
          <a:off x="363855" y="1371600"/>
          <a:ext cx="2052320"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56</xdr:row>
      <xdr:rowOff>172339</xdr:rowOff>
    </xdr:from>
    <xdr:to>
      <xdr:col>21</xdr:col>
      <xdr:colOff>100800</xdr:colOff>
      <xdr:row>85</xdr:row>
      <xdr:rowOff>145351</xdr:rowOff>
    </xdr:to>
    <xdr:grpSp>
      <xdr:nvGrpSpPr>
        <xdr:cNvPr id="25" name="グループ化 24">
          <a:extLst>
            <a:ext uri="{FF2B5EF4-FFF2-40B4-BE49-F238E27FC236}">
              <a16:creationId xmlns:a16="http://schemas.microsoft.com/office/drawing/2014/main" id="{00000000-0008-0000-0100-000019000000}"/>
            </a:ext>
          </a:extLst>
        </xdr:cNvPr>
        <xdr:cNvGrpSpPr/>
      </xdr:nvGrpSpPr>
      <xdr:grpSpPr>
        <a:xfrm>
          <a:off x="87924" y="9030589"/>
          <a:ext cx="4413426" cy="5287962"/>
          <a:chOff x="976313" y="1484784"/>
          <a:chExt cx="7191375" cy="7920880"/>
        </a:xfrm>
      </xdr:grpSpPr>
      <xdr:pic>
        <xdr:nvPicPr>
          <xdr:cNvPr id="26" name="Picture 2">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29" name="Picture 4">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34758</xdr:colOff>
      <xdr:row>56</xdr:row>
      <xdr:rowOff>175546</xdr:rowOff>
    </xdr:from>
    <xdr:to>
      <xdr:col>49</xdr:col>
      <xdr:colOff>7415</xdr:colOff>
      <xdr:row>89</xdr:row>
      <xdr:rowOff>66307</xdr:rowOff>
    </xdr:to>
    <xdr:pic>
      <xdr:nvPicPr>
        <xdr:cNvPr id="30" name="Picture 5">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81383" y="8954421"/>
          <a:ext cx="5338407" cy="6174086"/>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104276</xdr:colOff>
      <xdr:row>36</xdr:row>
      <xdr:rowOff>121150</xdr:rowOff>
    </xdr:from>
    <xdr:to>
      <xdr:col>19</xdr:col>
      <xdr:colOff>151902</xdr:colOff>
      <xdr:row>40</xdr:row>
      <xdr:rowOff>66675</xdr:rowOff>
    </xdr:to>
    <xdr:sp macro="" textlink="">
      <xdr:nvSpPr>
        <xdr:cNvPr id="13" name="下矢印 12">
          <a:extLst>
            <a:ext uri="{FF2B5EF4-FFF2-40B4-BE49-F238E27FC236}">
              <a16:creationId xmlns:a16="http://schemas.microsoft.com/office/drawing/2014/main" id="{00000000-0008-0000-0100-00000D000000}"/>
            </a:ext>
          </a:extLst>
        </xdr:cNvPr>
        <xdr:cNvSpPr/>
      </xdr:nvSpPr>
      <xdr:spPr bwMode="auto">
        <a:xfrm rot="16200000">
          <a:off x="3622426" y="58232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104278</xdr:colOff>
      <xdr:row>12</xdr:row>
      <xdr:rowOff>6850</xdr:rowOff>
    </xdr:from>
    <xdr:to>
      <xdr:col>19</xdr:col>
      <xdr:colOff>151904</xdr:colOff>
      <xdr:row>15</xdr:row>
      <xdr:rowOff>104775</xdr:rowOff>
    </xdr:to>
    <xdr:sp macro="" textlink="">
      <xdr:nvSpPr>
        <xdr:cNvPr id="59" name="下矢印 58">
          <a:extLst>
            <a:ext uri="{FF2B5EF4-FFF2-40B4-BE49-F238E27FC236}">
              <a16:creationId xmlns:a16="http://schemas.microsoft.com/office/drawing/2014/main" id="{00000000-0008-0000-0100-00003B000000}"/>
            </a:ext>
          </a:extLst>
        </xdr:cNvPr>
        <xdr:cNvSpPr/>
      </xdr:nvSpPr>
      <xdr:spPr bwMode="auto">
        <a:xfrm rot="16200000">
          <a:off x="3622428" y="22037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45</xdr:col>
          <xdr:colOff>190500</xdr:colOff>
          <xdr:row>7</xdr:row>
          <xdr:rowOff>38100</xdr:rowOff>
        </xdr:to>
        <xdr:sp macro="" textlink="">
          <xdr:nvSpPr>
            <xdr:cNvPr id="1077" name="Option 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104775</xdr:rowOff>
        </xdr:from>
        <xdr:to>
          <xdr:col>51</xdr:col>
          <xdr:colOff>190500</xdr:colOff>
          <xdr:row>7</xdr:row>
          <xdr:rowOff>38100</xdr:rowOff>
        </xdr:to>
        <xdr:sp macro="" textlink="">
          <xdr:nvSpPr>
            <xdr:cNvPr id="1078" name="Option 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5</xdr:row>
          <xdr:rowOff>38100</xdr:rowOff>
        </xdr:from>
        <xdr:to>
          <xdr:col>54</xdr:col>
          <xdr:colOff>114300</xdr:colOff>
          <xdr:row>7</xdr:row>
          <xdr:rowOff>95250</xdr:rowOff>
        </xdr:to>
        <xdr:sp macro="" textlink="">
          <xdr:nvSpPr>
            <xdr:cNvPr id="1080" name="Group Box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56</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9</xdr:row>
          <xdr:rowOff>104775</xdr:rowOff>
        </xdr:from>
        <xdr:to>
          <xdr:col>45</xdr:col>
          <xdr:colOff>190500</xdr:colOff>
          <xdr:row>11</xdr:row>
          <xdr:rowOff>38100</xdr:rowOff>
        </xdr:to>
        <xdr:sp macro="" textlink="">
          <xdr:nvSpPr>
            <xdr:cNvPr id="1081" name="Option 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xdr:row>
          <xdr:rowOff>104775</xdr:rowOff>
        </xdr:from>
        <xdr:to>
          <xdr:col>51</xdr:col>
          <xdr:colOff>190500</xdr:colOff>
          <xdr:row>11</xdr:row>
          <xdr:rowOff>38100</xdr:rowOff>
        </xdr:to>
        <xdr:sp macro="" textlink="">
          <xdr:nvSpPr>
            <xdr:cNvPr id="1082" name="Option 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9</xdr:row>
          <xdr:rowOff>28575</xdr:rowOff>
        </xdr:from>
        <xdr:to>
          <xdr:col>54</xdr:col>
          <xdr:colOff>95250</xdr:colOff>
          <xdr:row>11</xdr:row>
          <xdr:rowOff>114300</xdr:rowOff>
        </xdr:to>
        <xdr:sp macro="" textlink="">
          <xdr:nvSpPr>
            <xdr:cNvPr id="1083" name="Group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59</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13</xdr:row>
          <xdr:rowOff>95250</xdr:rowOff>
        </xdr:from>
        <xdr:to>
          <xdr:col>46</xdr:col>
          <xdr:colOff>0</xdr:colOff>
          <xdr:row>15</xdr:row>
          <xdr:rowOff>38100</xdr:rowOff>
        </xdr:to>
        <xdr:sp macro="" textlink="">
          <xdr:nvSpPr>
            <xdr:cNvPr id="1084" name="Option 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xdr:row>
          <xdr:rowOff>95250</xdr:rowOff>
        </xdr:from>
        <xdr:to>
          <xdr:col>51</xdr:col>
          <xdr:colOff>190500</xdr:colOff>
          <xdr:row>15</xdr:row>
          <xdr:rowOff>38100</xdr:rowOff>
        </xdr:to>
        <xdr:sp macro="" textlink="">
          <xdr:nvSpPr>
            <xdr:cNvPr id="1085" name="Option 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13</xdr:row>
          <xdr:rowOff>47625</xdr:rowOff>
        </xdr:from>
        <xdr:to>
          <xdr:col>55</xdr:col>
          <xdr:colOff>0</xdr:colOff>
          <xdr:row>15</xdr:row>
          <xdr:rowOff>95250</xdr:rowOff>
        </xdr:to>
        <xdr:sp macro="" textlink="">
          <xdr:nvSpPr>
            <xdr:cNvPr id="1086" name="Group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62</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15</xdr:row>
          <xdr:rowOff>95250</xdr:rowOff>
        </xdr:from>
        <xdr:to>
          <xdr:col>46</xdr:col>
          <xdr:colOff>0</xdr:colOff>
          <xdr:row>17</xdr:row>
          <xdr:rowOff>38100</xdr:rowOff>
        </xdr:to>
        <xdr:sp macro="" textlink="">
          <xdr:nvSpPr>
            <xdr:cNvPr id="1087" name="Option 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15</xdr:row>
          <xdr:rowOff>104775</xdr:rowOff>
        </xdr:from>
        <xdr:to>
          <xdr:col>51</xdr:col>
          <xdr:colOff>190500</xdr:colOff>
          <xdr:row>17</xdr:row>
          <xdr:rowOff>38100</xdr:rowOff>
        </xdr:to>
        <xdr:sp macro="" textlink="">
          <xdr:nvSpPr>
            <xdr:cNvPr id="1088" name="Option 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15</xdr:row>
          <xdr:rowOff>95250</xdr:rowOff>
        </xdr:from>
        <xdr:to>
          <xdr:col>54</xdr:col>
          <xdr:colOff>114300</xdr:colOff>
          <xdr:row>17</xdr:row>
          <xdr:rowOff>76200</xdr:rowOff>
        </xdr:to>
        <xdr:sp macro="" textlink="">
          <xdr:nvSpPr>
            <xdr:cNvPr id="1089" name="Group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65</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16</xdr:row>
          <xdr:rowOff>104775</xdr:rowOff>
        </xdr:from>
        <xdr:to>
          <xdr:col>46</xdr:col>
          <xdr:colOff>0</xdr:colOff>
          <xdr:row>18</xdr:row>
          <xdr:rowOff>38100</xdr:rowOff>
        </xdr:to>
        <xdr:sp macro="" textlink="">
          <xdr:nvSpPr>
            <xdr:cNvPr id="1090" name="Option 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xdr:row>
          <xdr:rowOff>104775</xdr:rowOff>
        </xdr:from>
        <xdr:to>
          <xdr:col>51</xdr:col>
          <xdr:colOff>190500</xdr:colOff>
          <xdr:row>18</xdr:row>
          <xdr:rowOff>38100</xdr:rowOff>
        </xdr:to>
        <xdr:sp macro="" textlink="">
          <xdr:nvSpPr>
            <xdr:cNvPr id="1091" name="Option 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142875</xdr:colOff>
          <xdr:row>16</xdr:row>
          <xdr:rowOff>66675</xdr:rowOff>
        </xdr:from>
        <xdr:to>
          <xdr:col>54</xdr:col>
          <xdr:colOff>95250</xdr:colOff>
          <xdr:row>18</xdr:row>
          <xdr:rowOff>133350</xdr:rowOff>
        </xdr:to>
        <xdr:sp macro="" textlink="">
          <xdr:nvSpPr>
            <xdr:cNvPr id="1092" name="Group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68</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30</xdr:row>
          <xdr:rowOff>104775</xdr:rowOff>
        </xdr:from>
        <xdr:to>
          <xdr:col>45</xdr:col>
          <xdr:colOff>190500</xdr:colOff>
          <xdr:row>32</xdr:row>
          <xdr:rowOff>38100</xdr:rowOff>
        </xdr:to>
        <xdr:sp macro="" textlink="">
          <xdr:nvSpPr>
            <xdr:cNvPr id="1093" name="Option 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30</xdr:row>
          <xdr:rowOff>95250</xdr:rowOff>
        </xdr:from>
        <xdr:to>
          <xdr:col>51</xdr:col>
          <xdr:colOff>190500</xdr:colOff>
          <xdr:row>32</xdr:row>
          <xdr:rowOff>38100</xdr:rowOff>
        </xdr:to>
        <xdr:sp macro="" textlink="">
          <xdr:nvSpPr>
            <xdr:cNvPr id="1094" name="Option 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30</xdr:row>
          <xdr:rowOff>38100</xdr:rowOff>
        </xdr:from>
        <xdr:to>
          <xdr:col>54</xdr:col>
          <xdr:colOff>76200</xdr:colOff>
          <xdr:row>32</xdr:row>
          <xdr:rowOff>95250</xdr:rowOff>
        </xdr:to>
        <xdr:sp macro="" textlink="">
          <xdr:nvSpPr>
            <xdr:cNvPr id="1095" name="Group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71</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34</xdr:row>
          <xdr:rowOff>104775</xdr:rowOff>
        </xdr:from>
        <xdr:to>
          <xdr:col>46</xdr:col>
          <xdr:colOff>0</xdr:colOff>
          <xdr:row>36</xdr:row>
          <xdr:rowOff>38100</xdr:rowOff>
        </xdr:to>
        <xdr:sp macro="" textlink="">
          <xdr:nvSpPr>
            <xdr:cNvPr id="1096" name="Option 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34</xdr:row>
          <xdr:rowOff>104775</xdr:rowOff>
        </xdr:from>
        <xdr:to>
          <xdr:col>51</xdr:col>
          <xdr:colOff>190500</xdr:colOff>
          <xdr:row>36</xdr:row>
          <xdr:rowOff>38100</xdr:rowOff>
        </xdr:to>
        <xdr:sp macro="" textlink="">
          <xdr:nvSpPr>
            <xdr:cNvPr id="1097" name="Option 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34</xdr:row>
          <xdr:rowOff>38100</xdr:rowOff>
        </xdr:from>
        <xdr:to>
          <xdr:col>54</xdr:col>
          <xdr:colOff>19050</xdr:colOff>
          <xdr:row>36</xdr:row>
          <xdr:rowOff>76200</xdr:rowOff>
        </xdr:to>
        <xdr:sp macro="" textlink="">
          <xdr:nvSpPr>
            <xdr:cNvPr id="1098" name="Group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74</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45</xdr:col>
          <xdr:colOff>190500</xdr:colOff>
          <xdr:row>39</xdr:row>
          <xdr:rowOff>38100</xdr:rowOff>
        </xdr:to>
        <xdr:sp macro="" textlink="">
          <xdr:nvSpPr>
            <xdr:cNvPr id="1099" name="Option 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51</xdr:col>
          <xdr:colOff>190500</xdr:colOff>
          <xdr:row>39</xdr:row>
          <xdr:rowOff>38100</xdr:rowOff>
        </xdr:to>
        <xdr:sp macro="" textlink="">
          <xdr:nvSpPr>
            <xdr:cNvPr id="1100" name="Option 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37</xdr:row>
          <xdr:rowOff>28575</xdr:rowOff>
        </xdr:from>
        <xdr:to>
          <xdr:col>54</xdr:col>
          <xdr:colOff>19050</xdr:colOff>
          <xdr:row>39</xdr:row>
          <xdr:rowOff>95250</xdr:rowOff>
        </xdr:to>
        <xdr:sp macro="" textlink="">
          <xdr:nvSpPr>
            <xdr:cNvPr id="1101" name="Group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77</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38</xdr:row>
          <xdr:rowOff>104775</xdr:rowOff>
        </xdr:from>
        <xdr:to>
          <xdr:col>45</xdr:col>
          <xdr:colOff>190500</xdr:colOff>
          <xdr:row>40</xdr:row>
          <xdr:rowOff>57150</xdr:rowOff>
        </xdr:to>
        <xdr:sp macro="" textlink="">
          <xdr:nvSpPr>
            <xdr:cNvPr id="1102" name="Option 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104775</xdr:rowOff>
        </xdr:from>
        <xdr:to>
          <xdr:col>51</xdr:col>
          <xdr:colOff>190500</xdr:colOff>
          <xdr:row>40</xdr:row>
          <xdr:rowOff>38100</xdr:rowOff>
        </xdr:to>
        <xdr:sp macro="" textlink="">
          <xdr:nvSpPr>
            <xdr:cNvPr id="1103" name="Option 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142875</xdr:colOff>
          <xdr:row>38</xdr:row>
          <xdr:rowOff>76200</xdr:rowOff>
        </xdr:from>
        <xdr:to>
          <xdr:col>54</xdr:col>
          <xdr:colOff>152400</xdr:colOff>
          <xdr:row>40</xdr:row>
          <xdr:rowOff>76200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80</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41</xdr:row>
          <xdr:rowOff>95250</xdr:rowOff>
        </xdr:from>
        <xdr:to>
          <xdr:col>45</xdr:col>
          <xdr:colOff>190500</xdr:colOff>
          <xdr:row>43</xdr:row>
          <xdr:rowOff>38100</xdr:rowOff>
        </xdr:to>
        <xdr:sp macro="" textlink="">
          <xdr:nvSpPr>
            <xdr:cNvPr id="1105" name="Option 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41</xdr:row>
          <xdr:rowOff>95250</xdr:rowOff>
        </xdr:from>
        <xdr:to>
          <xdr:col>51</xdr:col>
          <xdr:colOff>190500</xdr:colOff>
          <xdr:row>43</xdr:row>
          <xdr:rowOff>38100</xdr:rowOff>
        </xdr:to>
        <xdr:sp macro="" textlink="">
          <xdr:nvSpPr>
            <xdr:cNvPr id="1106" name="Option 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40</xdr:col>
          <xdr:colOff>180975</xdr:colOff>
          <xdr:row>41</xdr:row>
          <xdr:rowOff>47625</xdr:rowOff>
        </xdr:from>
        <xdr:to>
          <xdr:col>54</xdr:col>
          <xdr:colOff>95250</xdr:colOff>
          <xdr:row>43</xdr:row>
          <xdr:rowOff>95250</xdr:rowOff>
        </xdr:to>
        <xdr:sp macro="" textlink="">
          <xdr:nvSpPr>
            <xdr:cNvPr id="1107" name="Group Box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83</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43</xdr:row>
          <xdr:rowOff>95250</xdr:rowOff>
        </xdr:from>
        <xdr:to>
          <xdr:col>45</xdr:col>
          <xdr:colOff>190500</xdr:colOff>
          <xdr:row>45</xdr:row>
          <xdr:rowOff>38100</xdr:rowOff>
        </xdr:to>
        <xdr:sp macro="" textlink="">
          <xdr:nvSpPr>
            <xdr:cNvPr id="1108" name="Option 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43</xdr:row>
          <xdr:rowOff>104775</xdr:rowOff>
        </xdr:from>
        <xdr:to>
          <xdr:col>51</xdr:col>
          <xdr:colOff>190500</xdr:colOff>
          <xdr:row>45</xdr:row>
          <xdr:rowOff>38100</xdr:rowOff>
        </xdr:to>
        <xdr:sp macro="" textlink="">
          <xdr:nvSpPr>
            <xdr:cNvPr id="1109" name="Option 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43</xdr:row>
          <xdr:rowOff>57150</xdr:rowOff>
        </xdr:from>
        <xdr:to>
          <xdr:col>55</xdr:col>
          <xdr:colOff>19050</xdr:colOff>
          <xdr:row>45</xdr:row>
          <xdr:rowOff>76200</xdr:rowOff>
        </xdr:to>
        <xdr:sp macro="" textlink="">
          <xdr:nvSpPr>
            <xdr:cNvPr id="1111" name="Group Box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87</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44</xdr:row>
          <xdr:rowOff>114300</xdr:rowOff>
        </xdr:from>
        <xdr:to>
          <xdr:col>46</xdr:col>
          <xdr:colOff>0</xdr:colOff>
          <xdr:row>46</xdr:row>
          <xdr:rowOff>57150</xdr:rowOff>
        </xdr:to>
        <xdr:sp macro="" textlink="">
          <xdr:nvSpPr>
            <xdr:cNvPr id="1112" name="Option 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44</xdr:row>
          <xdr:rowOff>104775</xdr:rowOff>
        </xdr:from>
        <xdr:to>
          <xdr:col>51</xdr:col>
          <xdr:colOff>190500</xdr:colOff>
          <xdr:row>46</xdr:row>
          <xdr:rowOff>57150</xdr:rowOff>
        </xdr:to>
        <xdr:sp macro="" textlink="">
          <xdr:nvSpPr>
            <xdr:cNvPr id="1113" name="Option 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44</xdr:row>
          <xdr:rowOff>57150</xdr:rowOff>
        </xdr:from>
        <xdr:to>
          <xdr:col>54</xdr:col>
          <xdr:colOff>152400</xdr:colOff>
          <xdr:row>46</xdr:row>
          <xdr:rowOff>76200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90</a:t>
              </a:r>
              <a:endParaRPr lang="pt-BR" sz="900" b="0" i="0" u="none" strike="noStrike" baseline="0">
                <a:solidFill>
                  <a:srgbClr val="000000"/>
                </a:solidFill>
                <a:latin typeface="Meiryo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15875</xdr:colOff>
      <xdr:row>26</xdr:row>
      <xdr:rowOff>114300</xdr:rowOff>
    </xdr:from>
    <xdr:to>
      <xdr:col>55</xdr:col>
      <xdr:colOff>111479</xdr:colOff>
      <xdr:row>54</xdr:row>
      <xdr:rowOff>76200</xdr:rowOff>
    </xdr:to>
    <xdr:sp macro="" textlink="">
      <xdr:nvSpPr>
        <xdr:cNvPr id="2" name="角丸四角形 1">
          <a:extLst>
            <a:ext uri="{FF2B5EF4-FFF2-40B4-BE49-F238E27FC236}">
              <a16:creationId xmlns:a16="http://schemas.microsoft.com/office/drawing/2014/main" id="{00000000-0008-0000-0200-000002000000}"/>
            </a:ext>
          </a:extLst>
        </xdr:cNvPr>
        <xdr:cNvSpPr/>
      </xdr:nvSpPr>
      <xdr:spPr bwMode="auto">
        <a:xfrm>
          <a:off x="225425" y="4400550"/>
          <a:ext cx="11382729" cy="422910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15874</xdr:colOff>
      <xdr:row>3</xdr:row>
      <xdr:rowOff>126999</xdr:rowOff>
    </xdr:from>
    <xdr:to>
      <xdr:col>55</xdr:col>
      <xdr:colOff>123824</xdr:colOff>
      <xdr:row>24</xdr:row>
      <xdr:rowOff>114300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bwMode="auto">
        <a:xfrm>
          <a:off x="225424" y="908049"/>
          <a:ext cx="10975975" cy="318770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25</xdr:row>
      <xdr:rowOff>101600</xdr:rowOff>
    </xdr:from>
    <xdr:to>
      <xdr:col>13</xdr:col>
      <xdr:colOff>63500</xdr:colOff>
      <xdr:row>27</xdr:row>
      <xdr:rowOff>92075</xdr:rowOff>
    </xdr:to>
    <xdr:sp macro="" textlink="">
      <xdr:nvSpPr>
        <xdr:cNvPr id="4" name="テキスト ボックス 3">
          <a:extLst>
            <a:ext uri="{FF2B5EF4-FFF2-40B4-BE49-F238E27FC236}">
              <a16:creationId xmlns:a16="http://schemas.microsoft.com/office/drawing/2014/main" id="{00000000-0008-0000-02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2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57</xdr:row>
      <xdr:rowOff>7238</xdr:rowOff>
    </xdr:from>
    <xdr:to>
      <xdr:col>21</xdr:col>
      <xdr:colOff>100800</xdr:colOff>
      <xdr:row>85</xdr:row>
      <xdr:rowOff>161226</xdr:rowOff>
    </xdr:to>
    <xdr:grpSp>
      <xdr:nvGrpSpPr>
        <xdr:cNvPr id="7" name="グループ化 6">
          <a:extLst>
            <a:ext uri="{FF2B5EF4-FFF2-40B4-BE49-F238E27FC236}">
              <a16:creationId xmlns:a16="http://schemas.microsoft.com/office/drawing/2014/main" id="{00000000-0008-0000-0200-000007000000}"/>
            </a:ext>
          </a:extLst>
        </xdr:cNvPr>
        <xdr:cNvGrpSpPr/>
      </xdr:nvGrpSpPr>
      <xdr:grpSpPr>
        <a:xfrm>
          <a:off x="87924" y="9075038"/>
          <a:ext cx="4413426" cy="5268913"/>
          <a:chOff x="976313" y="1484784"/>
          <a:chExt cx="7191375" cy="7920880"/>
        </a:xfrm>
      </xdr:grpSpPr>
      <xdr:pic>
        <xdr:nvPicPr>
          <xdr:cNvPr id="8" name="Picture 2">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13591</xdr:colOff>
      <xdr:row>57</xdr:row>
      <xdr:rowOff>8859</xdr:rowOff>
    </xdr:from>
    <xdr:to>
      <xdr:col>48</xdr:col>
      <xdr:colOff>190295</xdr:colOff>
      <xdr:row>89</xdr:row>
      <xdr:rowOff>99645</xdr:rowOff>
    </xdr:to>
    <xdr:pic>
      <xdr:nvPicPr>
        <xdr:cNvPr id="10" name="Picture 5">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33241" y="9076659"/>
          <a:ext cx="5415454" cy="6120111"/>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104275</xdr:colOff>
      <xdr:row>35</xdr:row>
      <xdr:rowOff>121150</xdr:rowOff>
    </xdr:from>
    <xdr:to>
      <xdr:col>19</xdr:col>
      <xdr:colOff>151901</xdr:colOff>
      <xdr:row>39</xdr:row>
      <xdr:rowOff>66675</xdr:rowOff>
    </xdr:to>
    <xdr:sp macro="" textlink="">
      <xdr:nvSpPr>
        <xdr:cNvPr id="11" name="下矢印 10">
          <a:extLst>
            <a:ext uri="{FF2B5EF4-FFF2-40B4-BE49-F238E27FC236}">
              <a16:creationId xmlns:a16="http://schemas.microsoft.com/office/drawing/2014/main" id="{00000000-0008-0000-0200-00000B000000}"/>
            </a:ext>
          </a:extLst>
        </xdr:cNvPr>
        <xdr:cNvSpPr/>
      </xdr:nvSpPr>
      <xdr:spPr bwMode="auto">
        <a:xfrm rot="16200000">
          <a:off x="3622425" y="58232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104276</xdr:colOff>
      <xdr:row>12</xdr:row>
      <xdr:rowOff>6850</xdr:rowOff>
    </xdr:from>
    <xdr:to>
      <xdr:col>19</xdr:col>
      <xdr:colOff>151902</xdr:colOff>
      <xdr:row>15</xdr:row>
      <xdr:rowOff>104775</xdr:rowOff>
    </xdr:to>
    <xdr:sp macro="" textlink="">
      <xdr:nvSpPr>
        <xdr:cNvPr id="57" name="下矢印 56">
          <a:extLst>
            <a:ext uri="{FF2B5EF4-FFF2-40B4-BE49-F238E27FC236}">
              <a16:creationId xmlns:a16="http://schemas.microsoft.com/office/drawing/2014/main" id="{00000000-0008-0000-0200-000039000000}"/>
            </a:ext>
          </a:extLst>
        </xdr:cNvPr>
        <xdr:cNvSpPr/>
      </xdr:nvSpPr>
      <xdr:spPr bwMode="auto">
        <a:xfrm rot="16200000">
          <a:off x="3622426" y="22037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46</xdr:col>
          <xdr:colOff>0</xdr:colOff>
          <xdr:row>7</xdr:row>
          <xdr:rowOff>57150</xdr:rowOff>
        </xdr:to>
        <xdr:sp macro="" textlink="">
          <xdr:nvSpPr>
            <xdr:cNvPr id="2119" name="Option Button 71" hidden="1">
              <a:extLst>
                <a:ext uri="{63B3BB69-23CF-44E3-9099-C40C66FF867C}">
                  <a14:compatExt spid="_x0000_s2119"/>
                </a:ext>
                <a:ext uri="{FF2B5EF4-FFF2-40B4-BE49-F238E27FC236}">
                  <a16:creationId xmlns:a16="http://schemas.microsoft.com/office/drawing/2014/main" id="{00000000-0008-0000-02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19050</xdr:colOff>
          <xdr:row>5</xdr:row>
          <xdr:rowOff>95250</xdr:rowOff>
        </xdr:from>
        <xdr:to>
          <xdr:col>52</xdr:col>
          <xdr:colOff>0</xdr:colOff>
          <xdr:row>7</xdr:row>
          <xdr:rowOff>38100</xdr:rowOff>
        </xdr:to>
        <xdr:sp macro="" textlink="">
          <xdr:nvSpPr>
            <xdr:cNvPr id="2120" name="Option Button 72" hidden="1">
              <a:extLst>
                <a:ext uri="{63B3BB69-23CF-44E3-9099-C40C66FF867C}">
                  <a14:compatExt spid="_x0000_s2120"/>
                </a:ext>
                <a:ext uri="{FF2B5EF4-FFF2-40B4-BE49-F238E27FC236}">
                  <a16:creationId xmlns:a16="http://schemas.microsoft.com/office/drawing/2014/main" id="{00000000-0008-0000-02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5</xdr:row>
          <xdr:rowOff>9525</xdr:rowOff>
        </xdr:from>
        <xdr:to>
          <xdr:col>55</xdr:col>
          <xdr:colOff>0</xdr:colOff>
          <xdr:row>7</xdr:row>
          <xdr:rowOff>114300</xdr:rowOff>
        </xdr:to>
        <xdr:sp macro="" textlink="">
          <xdr:nvSpPr>
            <xdr:cNvPr id="2121" name="Group Box 73" hidden="1">
              <a:extLst>
                <a:ext uri="{63B3BB69-23CF-44E3-9099-C40C66FF867C}">
                  <a14:compatExt spid="_x0000_s2121"/>
                </a:ext>
                <a:ext uri="{FF2B5EF4-FFF2-40B4-BE49-F238E27FC236}">
                  <a16:creationId xmlns:a16="http://schemas.microsoft.com/office/drawing/2014/main" id="{00000000-0008-0000-0200-00004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73</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9</xdr:row>
          <xdr:rowOff>95250</xdr:rowOff>
        </xdr:from>
        <xdr:to>
          <xdr:col>46</xdr:col>
          <xdr:colOff>0</xdr:colOff>
          <xdr:row>11</xdr:row>
          <xdr:rowOff>38100</xdr:rowOff>
        </xdr:to>
        <xdr:sp macro="" textlink="">
          <xdr:nvSpPr>
            <xdr:cNvPr id="2122" name="Option Button 74" hidden="1">
              <a:extLst>
                <a:ext uri="{63B3BB69-23CF-44E3-9099-C40C66FF867C}">
                  <a14:compatExt spid="_x0000_s2122"/>
                </a:ext>
                <a:ext uri="{FF2B5EF4-FFF2-40B4-BE49-F238E27FC236}">
                  <a16:creationId xmlns:a16="http://schemas.microsoft.com/office/drawing/2014/main" id="{00000000-0008-0000-02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xdr:row>
          <xdr:rowOff>114300</xdr:rowOff>
        </xdr:from>
        <xdr:to>
          <xdr:col>52</xdr:col>
          <xdr:colOff>0</xdr:colOff>
          <xdr:row>11</xdr:row>
          <xdr:rowOff>38100</xdr:rowOff>
        </xdr:to>
        <xdr:sp macro="" textlink="">
          <xdr:nvSpPr>
            <xdr:cNvPr id="2123" name="Option Button 75" hidden="1">
              <a:extLst>
                <a:ext uri="{63B3BB69-23CF-44E3-9099-C40C66FF867C}">
                  <a14:compatExt spid="_x0000_s2123"/>
                </a:ext>
                <a:ext uri="{FF2B5EF4-FFF2-40B4-BE49-F238E27FC236}">
                  <a16:creationId xmlns:a16="http://schemas.microsoft.com/office/drawing/2014/main" id="{00000000-0008-0000-02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76200</xdr:colOff>
          <xdr:row>9</xdr:row>
          <xdr:rowOff>28575</xdr:rowOff>
        </xdr:from>
        <xdr:to>
          <xdr:col>54</xdr:col>
          <xdr:colOff>171450</xdr:colOff>
          <xdr:row>11</xdr:row>
          <xdr:rowOff>95250</xdr:rowOff>
        </xdr:to>
        <xdr:sp macro="" textlink="">
          <xdr:nvSpPr>
            <xdr:cNvPr id="2124" name="Group Box 76" hidden="1">
              <a:extLst>
                <a:ext uri="{63B3BB69-23CF-44E3-9099-C40C66FF867C}">
                  <a14:compatExt spid="_x0000_s2124"/>
                </a:ext>
                <a:ext uri="{FF2B5EF4-FFF2-40B4-BE49-F238E27FC236}">
                  <a16:creationId xmlns:a16="http://schemas.microsoft.com/office/drawing/2014/main" id="{00000000-0008-0000-0200-00004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76</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12</xdr:row>
          <xdr:rowOff>95250</xdr:rowOff>
        </xdr:from>
        <xdr:to>
          <xdr:col>46</xdr:col>
          <xdr:colOff>0</xdr:colOff>
          <xdr:row>14</xdr:row>
          <xdr:rowOff>38100</xdr:rowOff>
        </xdr:to>
        <xdr:sp macro="" textlink="">
          <xdr:nvSpPr>
            <xdr:cNvPr id="2125" name="Option Button 77" hidden="1">
              <a:extLst>
                <a:ext uri="{63B3BB69-23CF-44E3-9099-C40C66FF867C}">
                  <a14:compatExt spid="_x0000_s2125"/>
                </a:ext>
                <a:ext uri="{FF2B5EF4-FFF2-40B4-BE49-F238E27FC236}">
                  <a16:creationId xmlns:a16="http://schemas.microsoft.com/office/drawing/2014/main" id="{00000000-0008-0000-02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12</xdr:row>
          <xdr:rowOff>95250</xdr:rowOff>
        </xdr:from>
        <xdr:to>
          <xdr:col>52</xdr:col>
          <xdr:colOff>0</xdr:colOff>
          <xdr:row>14</xdr:row>
          <xdr:rowOff>38100</xdr:rowOff>
        </xdr:to>
        <xdr:sp macro="" textlink="">
          <xdr:nvSpPr>
            <xdr:cNvPr id="2126" name="Option Button 78" hidden="1">
              <a:extLst>
                <a:ext uri="{63B3BB69-23CF-44E3-9099-C40C66FF867C}">
                  <a14:compatExt spid="_x0000_s2126"/>
                </a:ext>
                <a:ext uri="{FF2B5EF4-FFF2-40B4-BE49-F238E27FC236}">
                  <a16:creationId xmlns:a16="http://schemas.microsoft.com/office/drawing/2014/main" id="{00000000-0008-0000-02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12</xdr:row>
          <xdr:rowOff>38100</xdr:rowOff>
        </xdr:from>
        <xdr:to>
          <xdr:col>56</xdr:col>
          <xdr:colOff>171450</xdr:colOff>
          <xdr:row>14</xdr:row>
          <xdr:rowOff>76200</xdr:rowOff>
        </xdr:to>
        <xdr:sp macro="" textlink="">
          <xdr:nvSpPr>
            <xdr:cNvPr id="2127" name="Group Box 79" hidden="1">
              <a:extLst>
                <a:ext uri="{63B3BB69-23CF-44E3-9099-C40C66FF867C}">
                  <a14:compatExt spid="_x0000_s2127"/>
                </a:ext>
                <a:ext uri="{FF2B5EF4-FFF2-40B4-BE49-F238E27FC236}">
                  <a16:creationId xmlns:a16="http://schemas.microsoft.com/office/drawing/2014/main" id="{00000000-0008-0000-0200-00004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79</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13</xdr:row>
          <xdr:rowOff>95250</xdr:rowOff>
        </xdr:from>
        <xdr:to>
          <xdr:col>46</xdr:col>
          <xdr:colOff>0</xdr:colOff>
          <xdr:row>15</xdr:row>
          <xdr:rowOff>38100</xdr:rowOff>
        </xdr:to>
        <xdr:sp macro="" textlink="">
          <xdr:nvSpPr>
            <xdr:cNvPr id="2128" name="Option Button 80" hidden="1">
              <a:extLst>
                <a:ext uri="{63B3BB69-23CF-44E3-9099-C40C66FF867C}">
                  <a14:compatExt spid="_x0000_s2128"/>
                </a:ext>
                <a:ext uri="{FF2B5EF4-FFF2-40B4-BE49-F238E27FC236}">
                  <a16:creationId xmlns:a16="http://schemas.microsoft.com/office/drawing/2014/main" id="{00000000-0008-0000-02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xdr:row>
          <xdr:rowOff>95250</xdr:rowOff>
        </xdr:from>
        <xdr:to>
          <xdr:col>52</xdr:col>
          <xdr:colOff>0</xdr:colOff>
          <xdr:row>15</xdr:row>
          <xdr:rowOff>38100</xdr:rowOff>
        </xdr:to>
        <xdr:sp macro="" textlink="">
          <xdr:nvSpPr>
            <xdr:cNvPr id="2129" name="Option Button 81" hidden="1">
              <a:extLst>
                <a:ext uri="{63B3BB69-23CF-44E3-9099-C40C66FF867C}">
                  <a14:compatExt spid="_x0000_s2129"/>
                </a:ext>
                <a:ext uri="{FF2B5EF4-FFF2-40B4-BE49-F238E27FC236}">
                  <a16:creationId xmlns:a16="http://schemas.microsoft.com/office/drawing/2014/main" id="{00000000-0008-0000-02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13</xdr:row>
          <xdr:rowOff>28575</xdr:rowOff>
        </xdr:from>
        <xdr:to>
          <xdr:col>54</xdr:col>
          <xdr:colOff>190500</xdr:colOff>
          <xdr:row>15</xdr:row>
          <xdr:rowOff>76200</xdr:rowOff>
        </xdr:to>
        <xdr:sp macro="" textlink="">
          <xdr:nvSpPr>
            <xdr:cNvPr id="2130" name="Group Box 82" hidden="1">
              <a:extLst>
                <a:ext uri="{63B3BB69-23CF-44E3-9099-C40C66FF867C}">
                  <a14:compatExt spid="_x0000_s2130"/>
                </a:ext>
                <a:ext uri="{FF2B5EF4-FFF2-40B4-BE49-F238E27FC236}">
                  <a16:creationId xmlns:a16="http://schemas.microsoft.com/office/drawing/2014/main" id="{00000000-0008-0000-0200-00005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82</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16</xdr:row>
          <xdr:rowOff>85725</xdr:rowOff>
        </xdr:from>
        <xdr:to>
          <xdr:col>46</xdr:col>
          <xdr:colOff>0</xdr:colOff>
          <xdr:row>18</xdr:row>
          <xdr:rowOff>19050</xdr:rowOff>
        </xdr:to>
        <xdr:sp macro="" textlink="">
          <xdr:nvSpPr>
            <xdr:cNvPr id="2131" name="Option Button 83" hidden="1">
              <a:extLst>
                <a:ext uri="{63B3BB69-23CF-44E3-9099-C40C66FF867C}">
                  <a14:compatExt spid="_x0000_s2131"/>
                </a:ext>
                <a:ext uri="{FF2B5EF4-FFF2-40B4-BE49-F238E27FC236}">
                  <a16:creationId xmlns:a16="http://schemas.microsoft.com/office/drawing/2014/main" id="{00000000-0008-0000-02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xdr:row>
          <xdr:rowOff>95250</xdr:rowOff>
        </xdr:from>
        <xdr:to>
          <xdr:col>52</xdr:col>
          <xdr:colOff>0</xdr:colOff>
          <xdr:row>18</xdr:row>
          <xdr:rowOff>38100</xdr:rowOff>
        </xdr:to>
        <xdr:sp macro="" textlink="">
          <xdr:nvSpPr>
            <xdr:cNvPr id="2132" name="Option Button 84" hidden="1">
              <a:extLst>
                <a:ext uri="{63B3BB69-23CF-44E3-9099-C40C66FF867C}">
                  <a14:compatExt spid="_x0000_s2132"/>
                </a:ext>
                <a:ext uri="{FF2B5EF4-FFF2-40B4-BE49-F238E27FC236}">
                  <a16:creationId xmlns:a16="http://schemas.microsoft.com/office/drawing/2014/main" id="{00000000-0008-0000-02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16</xdr:row>
          <xdr:rowOff>28575</xdr:rowOff>
        </xdr:from>
        <xdr:to>
          <xdr:col>54</xdr:col>
          <xdr:colOff>171450</xdr:colOff>
          <xdr:row>18</xdr:row>
          <xdr:rowOff>95250</xdr:rowOff>
        </xdr:to>
        <xdr:sp macro="" textlink="">
          <xdr:nvSpPr>
            <xdr:cNvPr id="2133" name="Group Box 85" hidden="1">
              <a:extLst>
                <a:ext uri="{63B3BB69-23CF-44E3-9099-C40C66FF867C}">
                  <a14:compatExt spid="_x0000_s2133"/>
                </a:ext>
                <a:ext uri="{FF2B5EF4-FFF2-40B4-BE49-F238E27FC236}">
                  <a16:creationId xmlns:a16="http://schemas.microsoft.com/office/drawing/2014/main" id="{00000000-0008-0000-0200-00005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85</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20</xdr:row>
          <xdr:rowOff>19050</xdr:rowOff>
        </xdr:from>
        <xdr:to>
          <xdr:col>46</xdr:col>
          <xdr:colOff>0</xdr:colOff>
          <xdr:row>21</xdr:row>
          <xdr:rowOff>95250</xdr:rowOff>
        </xdr:to>
        <xdr:sp macro="" textlink="">
          <xdr:nvSpPr>
            <xdr:cNvPr id="2134" name="Option Button 86" hidden="1">
              <a:extLst>
                <a:ext uri="{63B3BB69-23CF-44E3-9099-C40C66FF867C}">
                  <a14:compatExt spid="_x0000_s2134"/>
                </a:ext>
                <a:ext uri="{FF2B5EF4-FFF2-40B4-BE49-F238E27FC236}">
                  <a16:creationId xmlns:a16="http://schemas.microsoft.com/office/drawing/2014/main" id="{00000000-0008-0000-02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20</xdr:row>
          <xdr:rowOff>9525</xdr:rowOff>
        </xdr:from>
        <xdr:to>
          <xdr:col>52</xdr:col>
          <xdr:colOff>0</xdr:colOff>
          <xdr:row>21</xdr:row>
          <xdr:rowOff>95250</xdr:rowOff>
        </xdr:to>
        <xdr:sp macro="" textlink="">
          <xdr:nvSpPr>
            <xdr:cNvPr id="2135" name="Option Button 87" hidden="1">
              <a:extLst>
                <a:ext uri="{63B3BB69-23CF-44E3-9099-C40C66FF867C}">
                  <a14:compatExt spid="_x0000_s2135"/>
                </a:ext>
                <a:ext uri="{FF2B5EF4-FFF2-40B4-BE49-F238E27FC236}">
                  <a16:creationId xmlns:a16="http://schemas.microsoft.com/office/drawing/2014/main" id="{00000000-0008-0000-02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85725</xdr:colOff>
          <xdr:row>19</xdr:row>
          <xdr:rowOff>66675</xdr:rowOff>
        </xdr:from>
        <xdr:to>
          <xdr:col>54</xdr:col>
          <xdr:colOff>152400</xdr:colOff>
          <xdr:row>22</xdr:row>
          <xdr:rowOff>38100</xdr:rowOff>
        </xdr:to>
        <xdr:sp macro="" textlink="">
          <xdr:nvSpPr>
            <xdr:cNvPr id="2136" name="Group Box 88" hidden="1">
              <a:extLst>
                <a:ext uri="{63B3BB69-23CF-44E3-9099-C40C66FF867C}">
                  <a14:compatExt spid="_x0000_s2136"/>
                </a:ext>
                <a:ext uri="{FF2B5EF4-FFF2-40B4-BE49-F238E27FC236}">
                  <a16:creationId xmlns:a16="http://schemas.microsoft.com/office/drawing/2014/main" id="{00000000-0008-0000-0200-00005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88</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22</xdr:row>
          <xdr:rowOff>9525</xdr:rowOff>
        </xdr:from>
        <xdr:to>
          <xdr:col>46</xdr:col>
          <xdr:colOff>0</xdr:colOff>
          <xdr:row>23</xdr:row>
          <xdr:rowOff>95250</xdr:rowOff>
        </xdr:to>
        <xdr:sp macro="" textlink="">
          <xdr:nvSpPr>
            <xdr:cNvPr id="2137" name="Option Button 89" hidden="1">
              <a:extLst>
                <a:ext uri="{63B3BB69-23CF-44E3-9099-C40C66FF867C}">
                  <a14:compatExt spid="_x0000_s2137"/>
                </a:ext>
                <a:ext uri="{FF2B5EF4-FFF2-40B4-BE49-F238E27FC236}">
                  <a16:creationId xmlns:a16="http://schemas.microsoft.com/office/drawing/2014/main" id="{00000000-0008-0000-0200-00005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22</xdr:row>
          <xdr:rowOff>9525</xdr:rowOff>
        </xdr:from>
        <xdr:to>
          <xdr:col>52</xdr:col>
          <xdr:colOff>0</xdr:colOff>
          <xdr:row>23</xdr:row>
          <xdr:rowOff>95250</xdr:rowOff>
        </xdr:to>
        <xdr:sp macro="" textlink="">
          <xdr:nvSpPr>
            <xdr:cNvPr id="2138" name="Option Button 90" hidden="1">
              <a:extLst>
                <a:ext uri="{63B3BB69-23CF-44E3-9099-C40C66FF867C}">
                  <a14:compatExt spid="_x0000_s2138"/>
                </a:ext>
                <a:ext uri="{FF2B5EF4-FFF2-40B4-BE49-F238E27FC236}">
                  <a16:creationId xmlns:a16="http://schemas.microsoft.com/office/drawing/2014/main" id="{00000000-0008-0000-0200-00005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21</xdr:row>
          <xdr:rowOff>104775</xdr:rowOff>
        </xdr:from>
        <xdr:to>
          <xdr:col>54</xdr:col>
          <xdr:colOff>114300</xdr:colOff>
          <xdr:row>24</xdr:row>
          <xdr:rowOff>57150</xdr:rowOff>
        </xdr:to>
        <xdr:sp macro="" textlink="">
          <xdr:nvSpPr>
            <xdr:cNvPr id="2139" name="Group Box 91" hidden="1">
              <a:extLst>
                <a:ext uri="{63B3BB69-23CF-44E3-9099-C40C66FF867C}">
                  <a14:compatExt spid="_x0000_s2139"/>
                </a:ext>
                <a:ext uri="{FF2B5EF4-FFF2-40B4-BE49-F238E27FC236}">
                  <a16:creationId xmlns:a16="http://schemas.microsoft.com/office/drawing/2014/main" id="{00000000-0008-0000-0200-00005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91</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29</xdr:row>
          <xdr:rowOff>104775</xdr:rowOff>
        </xdr:from>
        <xdr:to>
          <xdr:col>45</xdr:col>
          <xdr:colOff>190500</xdr:colOff>
          <xdr:row>31</xdr:row>
          <xdr:rowOff>57150</xdr:rowOff>
        </xdr:to>
        <xdr:sp macro="" textlink="">
          <xdr:nvSpPr>
            <xdr:cNvPr id="2140" name="Option Button 92" hidden="1">
              <a:extLst>
                <a:ext uri="{63B3BB69-23CF-44E3-9099-C40C66FF867C}">
                  <a14:compatExt spid="_x0000_s2140"/>
                </a:ext>
                <a:ext uri="{FF2B5EF4-FFF2-40B4-BE49-F238E27FC236}">
                  <a16:creationId xmlns:a16="http://schemas.microsoft.com/office/drawing/2014/main" id="{00000000-0008-0000-02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29</xdr:row>
          <xdr:rowOff>95250</xdr:rowOff>
        </xdr:from>
        <xdr:to>
          <xdr:col>52</xdr:col>
          <xdr:colOff>0</xdr:colOff>
          <xdr:row>31</xdr:row>
          <xdr:rowOff>38100</xdr:rowOff>
        </xdr:to>
        <xdr:sp macro="" textlink="">
          <xdr:nvSpPr>
            <xdr:cNvPr id="2141" name="Option Button 93" hidden="1">
              <a:extLst>
                <a:ext uri="{63B3BB69-23CF-44E3-9099-C40C66FF867C}">
                  <a14:compatExt spid="_x0000_s2141"/>
                </a:ext>
                <a:ext uri="{FF2B5EF4-FFF2-40B4-BE49-F238E27FC236}">
                  <a16:creationId xmlns:a16="http://schemas.microsoft.com/office/drawing/2014/main" id="{00000000-0008-0000-02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29</xdr:row>
          <xdr:rowOff>28575</xdr:rowOff>
        </xdr:from>
        <xdr:to>
          <xdr:col>54</xdr:col>
          <xdr:colOff>95250</xdr:colOff>
          <xdr:row>31</xdr:row>
          <xdr:rowOff>95250</xdr:rowOff>
        </xdr:to>
        <xdr:sp macro="" textlink="">
          <xdr:nvSpPr>
            <xdr:cNvPr id="2142" name="Group Box 94" hidden="1">
              <a:extLst>
                <a:ext uri="{63B3BB69-23CF-44E3-9099-C40C66FF867C}">
                  <a14:compatExt spid="_x0000_s2142"/>
                </a:ext>
                <a:ext uri="{FF2B5EF4-FFF2-40B4-BE49-F238E27FC236}">
                  <a16:creationId xmlns:a16="http://schemas.microsoft.com/office/drawing/2014/main" id="{00000000-0008-0000-0200-00005E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94</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33</xdr:row>
          <xdr:rowOff>95250</xdr:rowOff>
        </xdr:from>
        <xdr:to>
          <xdr:col>46</xdr:col>
          <xdr:colOff>0</xdr:colOff>
          <xdr:row>35</xdr:row>
          <xdr:rowOff>38100</xdr:rowOff>
        </xdr:to>
        <xdr:sp macro="" textlink="">
          <xdr:nvSpPr>
            <xdr:cNvPr id="2143" name="Option Button 95" hidden="1">
              <a:extLst>
                <a:ext uri="{63B3BB69-23CF-44E3-9099-C40C66FF867C}">
                  <a14:compatExt spid="_x0000_s2143"/>
                </a:ext>
                <a:ext uri="{FF2B5EF4-FFF2-40B4-BE49-F238E27FC236}">
                  <a16:creationId xmlns:a16="http://schemas.microsoft.com/office/drawing/2014/main" id="{00000000-0008-0000-02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33</xdr:row>
          <xdr:rowOff>95250</xdr:rowOff>
        </xdr:from>
        <xdr:to>
          <xdr:col>52</xdr:col>
          <xdr:colOff>0</xdr:colOff>
          <xdr:row>35</xdr:row>
          <xdr:rowOff>38100</xdr:rowOff>
        </xdr:to>
        <xdr:sp macro="" textlink="">
          <xdr:nvSpPr>
            <xdr:cNvPr id="2144" name="Option Button 96" hidden="1">
              <a:extLst>
                <a:ext uri="{63B3BB69-23CF-44E3-9099-C40C66FF867C}">
                  <a14:compatExt spid="_x0000_s2144"/>
                </a:ext>
                <a:ext uri="{FF2B5EF4-FFF2-40B4-BE49-F238E27FC236}">
                  <a16:creationId xmlns:a16="http://schemas.microsoft.com/office/drawing/2014/main" id="{00000000-0008-0000-0200-00006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33</xdr:row>
          <xdr:rowOff>38100</xdr:rowOff>
        </xdr:from>
        <xdr:to>
          <xdr:col>54</xdr:col>
          <xdr:colOff>114300</xdr:colOff>
          <xdr:row>35</xdr:row>
          <xdr:rowOff>76200</xdr:rowOff>
        </xdr:to>
        <xdr:sp macro="" textlink="">
          <xdr:nvSpPr>
            <xdr:cNvPr id="2145" name="Group Box 97" hidden="1">
              <a:extLst>
                <a:ext uri="{63B3BB69-23CF-44E3-9099-C40C66FF867C}">
                  <a14:compatExt spid="_x0000_s2145"/>
                </a:ext>
                <a:ext uri="{FF2B5EF4-FFF2-40B4-BE49-F238E27FC236}">
                  <a16:creationId xmlns:a16="http://schemas.microsoft.com/office/drawing/2014/main" id="{00000000-0008-0000-0200-00006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97</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36</xdr:row>
          <xdr:rowOff>95250</xdr:rowOff>
        </xdr:from>
        <xdr:to>
          <xdr:col>46</xdr:col>
          <xdr:colOff>0</xdr:colOff>
          <xdr:row>38</xdr:row>
          <xdr:rowOff>38100</xdr:rowOff>
        </xdr:to>
        <xdr:sp macro="" textlink="">
          <xdr:nvSpPr>
            <xdr:cNvPr id="2146" name="Option Button 98" hidden="1">
              <a:extLst>
                <a:ext uri="{63B3BB69-23CF-44E3-9099-C40C66FF867C}">
                  <a14:compatExt spid="_x0000_s2146"/>
                </a:ext>
                <a:ext uri="{FF2B5EF4-FFF2-40B4-BE49-F238E27FC236}">
                  <a16:creationId xmlns:a16="http://schemas.microsoft.com/office/drawing/2014/main" id="{00000000-0008-0000-02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36</xdr:row>
          <xdr:rowOff>95250</xdr:rowOff>
        </xdr:from>
        <xdr:to>
          <xdr:col>52</xdr:col>
          <xdr:colOff>0</xdr:colOff>
          <xdr:row>38</xdr:row>
          <xdr:rowOff>38100</xdr:rowOff>
        </xdr:to>
        <xdr:sp macro="" textlink="">
          <xdr:nvSpPr>
            <xdr:cNvPr id="2147" name="Option Button 99" hidden="1">
              <a:extLst>
                <a:ext uri="{63B3BB69-23CF-44E3-9099-C40C66FF867C}">
                  <a14:compatExt spid="_x0000_s2147"/>
                </a:ext>
                <a:ext uri="{FF2B5EF4-FFF2-40B4-BE49-F238E27FC236}">
                  <a16:creationId xmlns:a16="http://schemas.microsoft.com/office/drawing/2014/main" id="{00000000-0008-0000-02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36</xdr:row>
          <xdr:rowOff>28575</xdr:rowOff>
        </xdr:from>
        <xdr:to>
          <xdr:col>55</xdr:col>
          <xdr:colOff>95250</xdr:colOff>
          <xdr:row>38</xdr:row>
          <xdr:rowOff>95250</xdr:rowOff>
        </xdr:to>
        <xdr:sp macro="" textlink="">
          <xdr:nvSpPr>
            <xdr:cNvPr id="2148" name="Group Box 100" hidden="1">
              <a:extLst>
                <a:ext uri="{63B3BB69-23CF-44E3-9099-C40C66FF867C}">
                  <a14:compatExt spid="_x0000_s2148"/>
                </a:ext>
                <a:ext uri="{FF2B5EF4-FFF2-40B4-BE49-F238E27FC236}">
                  <a16:creationId xmlns:a16="http://schemas.microsoft.com/office/drawing/2014/main" id="{00000000-0008-0000-0200-000064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100</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46</xdr:col>
          <xdr:colOff>57150</xdr:colOff>
          <xdr:row>39</xdr:row>
          <xdr:rowOff>38100</xdr:rowOff>
        </xdr:to>
        <xdr:sp macro="" textlink="">
          <xdr:nvSpPr>
            <xdr:cNvPr id="2149" name="Option Button 101" hidden="1">
              <a:extLst>
                <a:ext uri="{63B3BB69-23CF-44E3-9099-C40C66FF867C}">
                  <a14:compatExt spid="_x0000_s2149"/>
                </a:ext>
                <a:ext uri="{FF2B5EF4-FFF2-40B4-BE49-F238E27FC236}">
                  <a16:creationId xmlns:a16="http://schemas.microsoft.com/office/drawing/2014/main" id="{00000000-0008-0000-0200-00006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52</xdr:col>
          <xdr:colOff>76200</xdr:colOff>
          <xdr:row>39</xdr:row>
          <xdr:rowOff>38100</xdr:rowOff>
        </xdr:to>
        <xdr:sp macro="" textlink="">
          <xdr:nvSpPr>
            <xdr:cNvPr id="2150" name="Option Button 102" hidden="1">
              <a:extLst>
                <a:ext uri="{63B3BB69-23CF-44E3-9099-C40C66FF867C}">
                  <a14:compatExt spid="_x0000_s2150"/>
                </a:ext>
                <a:ext uri="{FF2B5EF4-FFF2-40B4-BE49-F238E27FC236}">
                  <a16:creationId xmlns:a16="http://schemas.microsoft.com/office/drawing/2014/main" id="{00000000-0008-0000-0200-00006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37</xdr:row>
          <xdr:rowOff>66675</xdr:rowOff>
        </xdr:from>
        <xdr:to>
          <xdr:col>54</xdr:col>
          <xdr:colOff>152400</xdr:colOff>
          <xdr:row>39</xdr:row>
          <xdr:rowOff>76200</xdr:rowOff>
        </xdr:to>
        <xdr:sp macro="" textlink="">
          <xdr:nvSpPr>
            <xdr:cNvPr id="2151" name="Group Box 103" hidden="1">
              <a:extLst>
                <a:ext uri="{63B3BB69-23CF-44E3-9099-C40C66FF867C}">
                  <a14:compatExt spid="_x0000_s2151"/>
                </a:ext>
                <a:ext uri="{FF2B5EF4-FFF2-40B4-BE49-F238E27FC236}">
                  <a16:creationId xmlns:a16="http://schemas.microsoft.com/office/drawing/2014/main" id="{00000000-0008-0000-0200-00006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103</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40</xdr:row>
          <xdr:rowOff>95250</xdr:rowOff>
        </xdr:from>
        <xdr:to>
          <xdr:col>46</xdr:col>
          <xdr:colOff>76200</xdr:colOff>
          <xdr:row>42</xdr:row>
          <xdr:rowOff>38100</xdr:rowOff>
        </xdr:to>
        <xdr:sp macro="" textlink="">
          <xdr:nvSpPr>
            <xdr:cNvPr id="2152" name="Option 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40</xdr:row>
          <xdr:rowOff>95250</xdr:rowOff>
        </xdr:from>
        <xdr:to>
          <xdr:col>52</xdr:col>
          <xdr:colOff>76200</xdr:colOff>
          <xdr:row>42</xdr:row>
          <xdr:rowOff>38100</xdr:rowOff>
        </xdr:to>
        <xdr:sp macro="" textlink="">
          <xdr:nvSpPr>
            <xdr:cNvPr id="2153" name="Option 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40</xdr:row>
          <xdr:rowOff>19050</xdr:rowOff>
        </xdr:from>
        <xdr:to>
          <xdr:col>55</xdr:col>
          <xdr:colOff>190500</xdr:colOff>
          <xdr:row>42</xdr:row>
          <xdr:rowOff>76200</xdr:rowOff>
        </xdr:to>
        <xdr:sp macro="" textlink="">
          <xdr:nvSpPr>
            <xdr:cNvPr id="2154" name="Group Box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106</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41</xdr:row>
          <xdr:rowOff>95250</xdr:rowOff>
        </xdr:from>
        <xdr:to>
          <xdr:col>46</xdr:col>
          <xdr:colOff>76200</xdr:colOff>
          <xdr:row>43</xdr:row>
          <xdr:rowOff>38100</xdr:rowOff>
        </xdr:to>
        <xdr:sp macro="" textlink="">
          <xdr:nvSpPr>
            <xdr:cNvPr id="2155" name="Option Button 107" hidden="1">
              <a:extLst>
                <a:ext uri="{63B3BB69-23CF-44E3-9099-C40C66FF867C}">
                  <a14:compatExt spid="_x0000_s2155"/>
                </a:ext>
                <a:ext uri="{FF2B5EF4-FFF2-40B4-BE49-F238E27FC236}">
                  <a16:creationId xmlns:a16="http://schemas.microsoft.com/office/drawing/2014/main" id="{00000000-0008-0000-02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41</xdr:row>
          <xdr:rowOff>95250</xdr:rowOff>
        </xdr:from>
        <xdr:to>
          <xdr:col>52</xdr:col>
          <xdr:colOff>76200</xdr:colOff>
          <xdr:row>43</xdr:row>
          <xdr:rowOff>38100</xdr:rowOff>
        </xdr:to>
        <xdr:sp macro="" textlink="">
          <xdr:nvSpPr>
            <xdr:cNvPr id="2156" name="Option Button 108" hidden="1">
              <a:extLst>
                <a:ext uri="{63B3BB69-23CF-44E3-9099-C40C66FF867C}">
                  <a14:compatExt spid="_x0000_s2156"/>
                </a:ext>
                <a:ext uri="{FF2B5EF4-FFF2-40B4-BE49-F238E27FC236}">
                  <a16:creationId xmlns:a16="http://schemas.microsoft.com/office/drawing/2014/main" id="{00000000-0008-0000-0200-00006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41</xdr:row>
          <xdr:rowOff>57150</xdr:rowOff>
        </xdr:from>
        <xdr:to>
          <xdr:col>54</xdr:col>
          <xdr:colOff>133350</xdr:colOff>
          <xdr:row>43</xdr:row>
          <xdr:rowOff>76200</xdr:rowOff>
        </xdr:to>
        <xdr:sp macro="" textlink="">
          <xdr:nvSpPr>
            <xdr:cNvPr id="2157" name="Group Box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109</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42</xdr:row>
          <xdr:rowOff>95250</xdr:rowOff>
        </xdr:from>
        <xdr:to>
          <xdr:col>46</xdr:col>
          <xdr:colOff>57150</xdr:colOff>
          <xdr:row>44</xdr:row>
          <xdr:rowOff>38100</xdr:rowOff>
        </xdr:to>
        <xdr:sp macro="" textlink="">
          <xdr:nvSpPr>
            <xdr:cNvPr id="2158" name="Option 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42</xdr:row>
          <xdr:rowOff>104775</xdr:rowOff>
        </xdr:from>
        <xdr:to>
          <xdr:col>52</xdr:col>
          <xdr:colOff>76200</xdr:colOff>
          <xdr:row>44</xdr:row>
          <xdr:rowOff>57150</xdr:rowOff>
        </xdr:to>
        <xdr:sp macro="" textlink="">
          <xdr:nvSpPr>
            <xdr:cNvPr id="2159" name="Option Button 111" hidden="1">
              <a:extLst>
                <a:ext uri="{63B3BB69-23CF-44E3-9099-C40C66FF867C}">
                  <a14:compatExt spid="_x0000_s2159"/>
                </a:ext>
                <a:ext uri="{FF2B5EF4-FFF2-40B4-BE49-F238E27FC236}">
                  <a16:creationId xmlns:a16="http://schemas.microsoft.com/office/drawing/2014/main" id="{00000000-0008-0000-0200-00006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42</xdr:row>
          <xdr:rowOff>57150</xdr:rowOff>
        </xdr:from>
        <xdr:to>
          <xdr:col>56</xdr:col>
          <xdr:colOff>57150</xdr:colOff>
          <xdr:row>44</xdr:row>
          <xdr:rowOff>95250</xdr:rowOff>
        </xdr:to>
        <xdr:sp macro="" textlink="">
          <xdr:nvSpPr>
            <xdr:cNvPr id="2160" name="Group Box 112" hidden="1">
              <a:extLst>
                <a:ext uri="{63B3BB69-23CF-44E3-9099-C40C66FF867C}">
                  <a14:compatExt spid="_x0000_s2160"/>
                </a:ext>
                <a:ext uri="{FF2B5EF4-FFF2-40B4-BE49-F238E27FC236}">
                  <a16:creationId xmlns:a16="http://schemas.microsoft.com/office/drawing/2014/main" id="{00000000-0008-0000-0200-00007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112</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43</xdr:row>
          <xdr:rowOff>95250</xdr:rowOff>
        </xdr:from>
        <xdr:to>
          <xdr:col>46</xdr:col>
          <xdr:colOff>76200</xdr:colOff>
          <xdr:row>45</xdr:row>
          <xdr:rowOff>38100</xdr:rowOff>
        </xdr:to>
        <xdr:sp macro="" textlink="">
          <xdr:nvSpPr>
            <xdr:cNvPr id="2161" name="Option Button 113" hidden="1">
              <a:extLst>
                <a:ext uri="{63B3BB69-23CF-44E3-9099-C40C66FF867C}">
                  <a14:compatExt spid="_x0000_s2161"/>
                </a:ext>
                <a:ext uri="{FF2B5EF4-FFF2-40B4-BE49-F238E27FC236}">
                  <a16:creationId xmlns:a16="http://schemas.microsoft.com/office/drawing/2014/main" id="{00000000-0008-0000-0200-00007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43</xdr:row>
          <xdr:rowOff>114300</xdr:rowOff>
        </xdr:from>
        <xdr:to>
          <xdr:col>52</xdr:col>
          <xdr:colOff>57150</xdr:colOff>
          <xdr:row>45</xdr:row>
          <xdr:rowOff>38100</xdr:rowOff>
        </xdr:to>
        <xdr:sp macro="" textlink="">
          <xdr:nvSpPr>
            <xdr:cNvPr id="2162" name="Option Button 114" hidden="1">
              <a:extLst>
                <a:ext uri="{63B3BB69-23CF-44E3-9099-C40C66FF867C}">
                  <a14:compatExt spid="_x0000_s2162"/>
                </a:ext>
                <a:ext uri="{FF2B5EF4-FFF2-40B4-BE49-F238E27FC236}">
                  <a16:creationId xmlns:a16="http://schemas.microsoft.com/office/drawing/2014/main" id="{00000000-0008-0000-0200-00007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43</xdr:row>
          <xdr:rowOff>66675</xdr:rowOff>
        </xdr:from>
        <xdr:to>
          <xdr:col>55</xdr:col>
          <xdr:colOff>57150</xdr:colOff>
          <xdr:row>45</xdr:row>
          <xdr:rowOff>76200</xdr:rowOff>
        </xdr:to>
        <xdr:sp macro="" textlink="">
          <xdr:nvSpPr>
            <xdr:cNvPr id="2163" name="Group Box 115" hidden="1">
              <a:extLst>
                <a:ext uri="{63B3BB69-23CF-44E3-9099-C40C66FF867C}">
                  <a14:compatExt spid="_x0000_s2163"/>
                </a:ext>
                <a:ext uri="{FF2B5EF4-FFF2-40B4-BE49-F238E27FC236}">
                  <a16:creationId xmlns:a16="http://schemas.microsoft.com/office/drawing/2014/main" id="{00000000-0008-0000-0200-00007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115</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47</xdr:row>
          <xdr:rowOff>9525</xdr:rowOff>
        </xdr:from>
        <xdr:to>
          <xdr:col>46</xdr:col>
          <xdr:colOff>57150</xdr:colOff>
          <xdr:row>48</xdr:row>
          <xdr:rowOff>95250</xdr:rowOff>
        </xdr:to>
        <xdr:sp macro="" textlink="">
          <xdr:nvSpPr>
            <xdr:cNvPr id="2164" name="Option Button 116" hidden="1">
              <a:extLst>
                <a:ext uri="{63B3BB69-23CF-44E3-9099-C40C66FF867C}">
                  <a14:compatExt spid="_x0000_s2164"/>
                </a:ext>
                <a:ext uri="{FF2B5EF4-FFF2-40B4-BE49-F238E27FC236}">
                  <a16:creationId xmlns:a16="http://schemas.microsoft.com/office/drawing/2014/main" id="{00000000-0008-0000-0200-00007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47</xdr:row>
          <xdr:rowOff>9525</xdr:rowOff>
        </xdr:from>
        <xdr:to>
          <xdr:col>52</xdr:col>
          <xdr:colOff>76200</xdr:colOff>
          <xdr:row>48</xdr:row>
          <xdr:rowOff>95250</xdr:rowOff>
        </xdr:to>
        <xdr:sp macro="" textlink="">
          <xdr:nvSpPr>
            <xdr:cNvPr id="2165" name="Option Button 117" hidden="1">
              <a:extLst>
                <a:ext uri="{63B3BB69-23CF-44E3-9099-C40C66FF867C}">
                  <a14:compatExt spid="_x0000_s2165"/>
                </a:ext>
                <a:ext uri="{FF2B5EF4-FFF2-40B4-BE49-F238E27FC236}">
                  <a16:creationId xmlns:a16="http://schemas.microsoft.com/office/drawing/2014/main" id="{00000000-0008-0000-0200-00007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46</xdr:row>
          <xdr:rowOff>57150</xdr:rowOff>
        </xdr:from>
        <xdr:to>
          <xdr:col>54</xdr:col>
          <xdr:colOff>95250</xdr:colOff>
          <xdr:row>49</xdr:row>
          <xdr:rowOff>38100</xdr:rowOff>
        </xdr:to>
        <xdr:sp macro="" textlink="">
          <xdr:nvSpPr>
            <xdr:cNvPr id="2166" name="Group Box 118" hidden="1">
              <a:extLst>
                <a:ext uri="{63B3BB69-23CF-44E3-9099-C40C66FF867C}">
                  <a14:compatExt spid="_x0000_s2166"/>
                </a:ext>
                <a:ext uri="{FF2B5EF4-FFF2-40B4-BE49-F238E27FC236}">
                  <a16:creationId xmlns:a16="http://schemas.microsoft.com/office/drawing/2014/main" id="{00000000-0008-0000-0200-000076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118</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49</xdr:row>
          <xdr:rowOff>9525</xdr:rowOff>
        </xdr:from>
        <xdr:to>
          <xdr:col>46</xdr:col>
          <xdr:colOff>57150</xdr:colOff>
          <xdr:row>50</xdr:row>
          <xdr:rowOff>95250</xdr:rowOff>
        </xdr:to>
        <xdr:sp macro="" textlink="">
          <xdr:nvSpPr>
            <xdr:cNvPr id="2167" name="Option Button 119" hidden="1">
              <a:extLst>
                <a:ext uri="{63B3BB69-23CF-44E3-9099-C40C66FF867C}">
                  <a14:compatExt spid="_x0000_s2167"/>
                </a:ext>
                <a:ext uri="{FF2B5EF4-FFF2-40B4-BE49-F238E27FC236}">
                  <a16:creationId xmlns:a16="http://schemas.microsoft.com/office/drawing/2014/main" id="{00000000-0008-0000-0200-00007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49</xdr:row>
          <xdr:rowOff>9525</xdr:rowOff>
        </xdr:from>
        <xdr:to>
          <xdr:col>52</xdr:col>
          <xdr:colOff>76200</xdr:colOff>
          <xdr:row>50</xdr:row>
          <xdr:rowOff>95250</xdr:rowOff>
        </xdr:to>
        <xdr:sp macro="" textlink="">
          <xdr:nvSpPr>
            <xdr:cNvPr id="2168" name="Option Button 120" hidden="1">
              <a:extLst>
                <a:ext uri="{63B3BB69-23CF-44E3-9099-C40C66FF867C}">
                  <a14:compatExt spid="_x0000_s2168"/>
                </a:ext>
                <a:ext uri="{FF2B5EF4-FFF2-40B4-BE49-F238E27FC236}">
                  <a16:creationId xmlns:a16="http://schemas.microsoft.com/office/drawing/2014/main" id="{00000000-0008-0000-0200-00007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48</xdr:row>
          <xdr:rowOff>114300</xdr:rowOff>
        </xdr:from>
        <xdr:to>
          <xdr:col>54</xdr:col>
          <xdr:colOff>95250</xdr:colOff>
          <xdr:row>51</xdr:row>
          <xdr:rowOff>19050</xdr:rowOff>
        </xdr:to>
        <xdr:sp macro="" textlink="">
          <xdr:nvSpPr>
            <xdr:cNvPr id="2169" name="Group Box 121" hidden="1">
              <a:extLst>
                <a:ext uri="{63B3BB69-23CF-44E3-9099-C40C66FF867C}">
                  <a14:compatExt spid="_x0000_s2169"/>
                </a:ext>
                <a:ext uri="{FF2B5EF4-FFF2-40B4-BE49-F238E27FC236}">
                  <a16:creationId xmlns:a16="http://schemas.microsoft.com/office/drawing/2014/main" id="{00000000-0008-0000-0200-00007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121</a:t>
              </a:r>
              <a:endParaRPr lang="pt-BR" sz="900" b="0" i="0" u="none" strike="noStrike" baseline="0">
                <a:solidFill>
                  <a:srgbClr val="000000"/>
                </a:solidFill>
                <a:latin typeface="Meiryo UI"/>
              </a:endParaRP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15876</xdr:colOff>
      <xdr:row>23</xdr:row>
      <xdr:rowOff>114300</xdr:rowOff>
    </xdr:from>
    <xdr:to>
      <xdr:col>55</xdr:col>
      <xdr:colOff>101967</xdr:colOff>
      <xdr:row>46</xdr:row>
      <xdr:rowOff>31750</xdr:rowOff>
    </xdr:to>
    <xdr:sp macro="" textlink="">
      <xdr:nvSpPr>
        <xdr:cNvPr id="2" name="角丸四角形 1">
          <a:extLst>
            <a:ext uri="{FF2B5EF4-FFF2-40B4-BE49-F238E27FC236}">
              <a16:creationId xmlns:a16="http://schemas.microsoft.com/office/drawing/2014/main" id="{00000000-0008-0000-0300-000002000000}"/>
            </a:ext>
          </a:extLst>
        </xdr:cNvPr>
        <xdr:cNvSpPr/>
      </xdr:nvSpPr>
      <xdr:spPr bwMode="auto">
        <a:xfrm>
          <a:off x="225426" y="3943350"/>
          <a:ext cx="10954116" cy="342265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15874</xdr:colOff>
      <xdr:row>3</xdr:row>
      <xdr:rowOff>126999</xdr:rowOff>
    </xdr:from>
    <xdr:to>
      <xdr:col>55</xdr:col>
      <xdr:colOff>114300</xdr:colOff>
      <xdr:row>21</xdr:row>
      <xdr:rowOff>95250</xdr:rowOff>
    </xdr:to>
    <xdr:sp macro="" textlink="">
      <xdr:nvSpPr>
        <xdr:cNvPr id="3" name="角丸四角形 2">
          <a:extLst>
            <a:ext uri="{FF2B5EF4-FFF2-40B4-BE49-F238E27FC236}">
              <a16:creationId xmlns:a16="http://schemas.microsoft.com/office/drawing/2014/main" id="{00000000-0008-0000-0300-000003000000}"/>
            </a:ext>
          </a:extLst>
        </xdr:cNvPr>
        <xdr:cNvSpPr/>
      </xdr:nvSpPr>
      <xdr:spPr bwMode="auto">
        <a:xfrm>
          <a:off x="225424" y="908049"/>
          <a:ext cx="10966451" cy="271145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22</xdr:row>
      <xdr:rowOff>101600</xdr:rowOff>
    </xdr:from>
    <xdr:to>
      <xdr:col>13</xdr:col>
      <xdr:colOff>63500</xdr:colOff>
      <xdr:row>24</xdr:row>
      <xdr:rowOff>92075</xdr:rowOff>
    </xdr:to>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3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47</xdr:row>
      <xdr:rowOff>169163</xdr:rowOff>
    </xdr:from>
    <xdr:to>
      <xdr:col>21</xdr:col>
      <xdr:colOff>100800</xdr:colOff>
      <xdr:row>76</xdr:row>
      <xdr:rowOff>142176</xdr:rowOff>
    </xdr:to>
    <xdr:grpSp>
      <xdr:nvGrpSpPr>
        <xdr:cNvPr id="7" name="グループ化 6">
          <a:extLst>
            <a:ext uri="{FF2B5EF4-FFF2-40B4-BE49-F238E27FC236}">
              <a16:creationId xmlns:a16="http://schemas.microsoft.com/office/drawing/2014/main" id="{00000000-0008-0000-0300-000007000000}"/>
            </a:ext>
          </a:extLst>
        </xdr:cNvPr>
        <xdr:cNvGrpSpPr/>
      </xdr:nvGrpSpPr>
      <xdr:grpSpPr>
        <a:xfrm>
          <a:off x="87924" y="7655813"/>
          <a:ext cx="4413426" cy="5268913"/>
          <a:chOff x="976313" y="1484784"/>
          <a:chExt cx="7191375" cy="7920880"/>
        </a:xfrm>
      </xdr:grpSpPr>
      <xdr:pic>
        <xdr:nvPicPr>
          <xdr:cNvPr id="8" name="Picture 2">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24175</xdr:colOff>
      <xdr:row>47</xdr:row>
      <xdr:rowOff>170784</xdr:rowOff>
    </xdr:from>
    <xdr:to>
      <xdr:col>49</xdr:col>
      <xdr:colOff>2759</xdr:colOff>
      <xdr:row>80</xdr:row>
      <xdr:rowOff>137745</xdr:rowOff>
    </xdr:to>
    <xdr:pic>
      <xdr:nvPicPr>
        <xdr:cNvPr id="10" name="Picture 5">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43825" y="7657434"/>
          <a:ext cx="5426884" cy="6120111"/>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94751</xdr:colOff>
      <xdr:row>32</xdr:row>
      <xdr:rowOff>121150</xdr:rowOff>
    </xdr:from>
    <xdr:to>
      <xdr:col>19</xdr:col>
      <xdr:colOff>142377</xdr:colOff>
      <xdr:row>36</xdr:row>
      <xdr:rowOff>66675</xdr:rowOff>
    </xdr:to>
    <xdr:sp macro="" textlink="">
      <xdr:nvSpPr>
        <xdr:cNvPr id="11" name="下矢印 10">
          <a:extLst>
            <a:ext uri="{FF2B5EF4-FFF2-40B4-BE49-F238E27FC236}">
              <a16:creationId xmlns:a16="http://schemas.microsoft.com/office/drawing/2014/main" id="{00000000-0008-0000-0300-00000B000000}"/>
            </a:ext>
          </a:extLst>
        </xdr:cNvPr>
        <xdr:cNvSpPr/>
      </xdr:nvSpPr>
      <xdr:spPr bwMode="auto">
        <a:xfrm rot="16200000">
          <a:off x="3612901" y="53660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94752</xdr:colOff>
      <xdr:row>10</xdr:row>
      <xdr:rowOff>149725</xdr:rowOff>
    </xdr:from>
    <xdr:to>
      <xdr:col>19</xdr:col>
      <xdr:colOff>142378</xdr:colOff>
      <xdr:row>14</xdr:row>
      <xdr:rowOff>95250</xdr:rowOff>
    </xdr:to>
    <xdr:sp macro="" textlink="">
      <xdr:nvSpPr>
        <xdr:cNvPr id="36" name="下矢印 35">
          <a:extLst>
            <a:ext uri="{FF2B5EF4-FFF2-40B4-BE49-F238E27FC236}">
              <a16:creationId xmlns:a16="http://schemas.microsoft.com/office/drawing/2014/main" id="{00000000-0008-0000-0300-000024000000}"/>
            </a:ext>
          </a:extLst>
        </xdr:cNvPr>
        <xdr:cNvSpPr/>
      </xdr:nvSpPr>
      <xdr:spPr bwMode="auto">
        <a:xfrm rot="16200000">
          <a:off x="3612902" y="2041775"/>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46</xdr:col>
          <xdr:colOff>0</xdr:colOff>
          <xdr:row>7</xdr:row>
          <xdr:rowOff>57150</xdr:rowOff>
        </xdr:to>
        <xdr:sp macro="" textlink="">
          <xdr:nvSpPr>
            <xdr:cNvPr id="3106" name="Option Button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114300</xdr:rowOff>
        </xdr:from>
        <xdr:to>
          <xdr:col>52</xdr:col>
          <xdr:colOff>0</xdr:colOff>
          <xdr:row>7</xdr:row>
          <xdr:rowOff>38100</xdr:rowOff>
        </xdr:to>
        <xdr:sp macro="" textlink="">
          <xdr:nvSpPr>
            <xdr:cNvPr id="3107" name="Option Button 35"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5</xdr:row>
          <xdr:rowOff>28575</xdr:rowOff>
        </xdr:from>
        <xdr:to>
          <xdr:col>54</xdr:col>
          <xdr:colOff>171450</xdr:colOff>
          <xdr:row>7</xdr:row>
          <xdr:rowOff>114300</xdr:rowOff>
        </xdr:to>
        <xdr:sp macro="" textlink="">
          <xdr:nvSpPr>
            <xdr:cNvPr id="3109" name="Group Box 37" hidden="1">
              <a:extLst>
                <a:ext uri="{63B3BB69-23CF-44E3-9099-C40C66FF867C}">
                  <a14:compatExt spid="_x0000_s3109"/>
                </a:ext>
                <a:ext uri="{FF2B5EF4-FFF2-40B4-BE49-F238E27FC236}">
                  <a16:creationId xmlns:a16="http://schemas.microsoft.com/office/drawing/2014/main" id="{00000000-0008-0000-0300-00002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37</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11</xdr:row>
          <xdr:rowOff>95250</xdr:rowOff>
        </xdr:from>
        <xdr:to>
          <xdr:col>46</xdr:col>
          <xdr:colOff>0</xdr:colOff>
          <xdr:row>13</xdr:row>
          <xdr:rowOff>38100</xdr:rowOff>
        </xdr:to>
        <xdr:sp macro="" textlink="">
          <xdr:nvSpPr>
            <xdr:cNvPr id="3110" name="Option Button 38" hidden="1">
              <a:extLst>
                <a:ext uri="{63B3BB69-23CF-44E3-9099-C40C66FF867C}">
                  <a14:compatExt spid="_x0000_s3110"/>
                </a:ext>
                <a:ext uri="{FF2B5EF4-FFF2-40B4-BE49-F238E27FC236}">
                  <a16:creationId xmlns:a16="http://schemas.microsoft.com/office/drawing/2014/main" id="{00000000-0008-0000-03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95250</xdr:rowOff>
        </xdr:from>
        <xdr:to>
          <xdr:col>52</xdr:col>
          <xdr:colOff>0</xdr:colOff>
          <xdr:row>13</xdr:row>
          <xdr:rowOff>38100</xdr:rowOff>
        </xdr:to>
        <xdr:sp macro="" textlink="">
          <xdr:nvSpPr>
            <xdr:cNvPr id="3111" name="Option Button 39" hidden="1">
              <a:extLst>
                <a:ext uri="{63B3BB69-23CF-44E3-9099-C40C66FF867C}">
                  <a14:compatExt spid="_x0000_s3111"/>
                </a:ext>
                <a:ext uri="{FF2B5EF4-FFF2-40B4-BE49-F238E27FC236}">
                  <a16:creationId xmlns:a16="http://schemas.microsoft.com/office/drawing/2014/main" id="{00000000-0008-0000-03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11</xdr:row>
          <xdr:rowOff>28575</xdr:rowOff>
        </xdr:from>
        <xdr:to>
          <xdr:col>55</xdr:col>
          <xdr:colOff>95250</xdr:colOff>
          <xdr:row>13</xdr:row>
          <xdr:rowOff>95250</xdr:rowOff>
        </xdr:to>
        <xdr:sp macro="" textlink="">
          <xdr:nvSpPr>
            <xdr:cNvPr id="3112" name="Group Box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40</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18</xdr:row>
          <xdr:rowOff>9525</xdr:rowOff>
        </xdr:from>
        <xdr:to>
          <xdr:col>46</xdr:col>
          <xdr:colOff>0</xdr:colOff>
          <xdr:row>19</xdr:row>
          <xdr:rowOff>95250</xdr:rowOff>
        </xdr:to>
        <xdr:sp macro="" textlink="">
          <xdr:nvSpPr>
            <xdr:cNvPr id="3113" name="Option Button 41" hidden="1">
              <a:extLst>
                <a:ext uri="{63B3BB69-23CF-44E3-9099-C40C66FF867C}">
                  <a14:compatExt spid="_x0000_s3113"/>
                </a:ext>
                <a:ext uri="{FF2B5EF4-FFF2-40B4-BE49-F238E27FC236}">
                  <a16:creationId xmlns:a16="http://schemas.microsoft.com/office/drawing/2014/main" id="{00000000-0008-0000-03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18</xdr:row>
          <xdr:rowOff>19050</xdr:rowOff>
        </xdr:from>
        <xdr:to>
          <xdr:col>52</xdr:col>
          <xdr:colOff>0</xdr:colOff>
          <xdr:row>19</xdr:row>
          <xdr:rowOff>95250</xdr:rowOff>
        </xdr:to>
        <xdr:sp macro="" textlink="">
          <xdr:nvSpPr>
            <xdr:cNvPr id="3114" name="Option Button 42" hidden="1">
              <a:extLst>
                <a:ext uri="{63B3BB69-23CF-44E3-9099-C40C66FF867C}">
                  <a14:compatExt spid="_x0000_s3114"/>
                </a:ext>
                <a:ext uri="{FF2B5EF4-FFF2-40B4-BE49-F238E27FC236}">
                  <a16:creationId xmlns:a16="http://schemas.microsoft.com/office/drawing/2014/main" id="{00000000-0008-0000-03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17</xdr:row>
          <xdr:rowOff>76200</xdr:rowOff>
        </xdr:from>
        <xdr:to>
          <xdr:col>55</xdr:col>
          <xdr:colOff>19050</xdr:colOff>
          <xdr:row>20</xdr:row>
          <xdr:rowOff>76200</xdr:rowOff>
        </xdr:to>
        <xdr:sp macro="" textlink="">
          <xdr:nvSpPr>
            <xdr:cNvPr id="3115" name="Group Box 43" hidden="1">
              <a:extLst>
                <a:ext uri="{63B3BB69-23CF-44E3-9099-C40C66FF867C}">
                  <a14:compatExt spid="_x0000_s3115"/>
                </a:ext>
                <a:ext uri="{FF2B5EF4-FFF2-40B4-BE49-F238E27FC236}">
                  <a16:creationId xmlns:a16="http://schemas.microsoft.com/office/drawing/2014/main" id="{00000000-0008-0000-0300-00002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43</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26</xdr:row>
          <xdr:rowOff>95250</xdr:rowOff>
        </xdr:from>
        <xdr:to>
          <xdr:col>46</xdr:col>
          <xdr:colOff>0</xdr:colOff>
          <xdr:row>28</xdr:row>
          <xdr:rowOff>38100</xdr:rowOff>
        </xdr:to>
        <xdr:sp macro="" textlink="">
          <xdr:nvSpPr>
            <xdr:cNvPr id="3116" name="Option Button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26</xdr:row>
          <xdr:rowOff>95250</xdr:rowOff>
        </xdr:from>
        <xdr:to>
          <xdr:col>52</xdr:col>
          <xdr:colOff>0</xdr:colOff>
          <xdr:row>28</xdr:row>
          <xdr:rowOff>38100</xdr:rowOff>
        </xdr:to>
        <xdr:sp macro="" textlink="">
          <xdr:nvSpPr>
            <xdr:cNvPr id="3117" name="Option Button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26</xdr:row>
          <xdr:rowOff>28575</xdr:rowOff>
        </xdr:from>
        <xdr:to>
          <xdr:col>55</xdr:col>
          <xdr:colOff>19050</xdr:colOff>
          <xdr:row>28</xdr:row>
          <xdr:rowOff>114300</xdr:rowOff>
        </xdr:to>
        <xdr:sp macro="" textlink="">
          <xdr:nvSpPr>
            <xdr:cNvPr id="3118" name="Group Box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46</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32</xdr:row>
          <xdr:rowOff>95250</xdr:rowOff>
        </xdr:from>
        <xdr:to>
          <xdr:col>46</xdr:col>
          <xdr:colOff>0</xdr:colOff>
          <xdr:row>34</xdr:row>
          <xdr:rowOff>38100</xdr:rowOff>
        </xdr:to>
        <xdr:sp macro="" textlink="">
          <xdr:nvSpPr>
            <xdr:cNvPr id="3119" name="Option Button 47" hidden="1">
              <a:extLst>
                <a:ext uri="{63B3BB69-23CF-44E3-9099-C40C66FF867C}">
                  <a14:compatExt spid="_x0000_s3119"/>
                </a:ext>
                <a:ext uri="{FF2B5EF4-FFF2-40B4-BE49-F238E27FC236}">
                  <a16:creationId xmlns:a16="http://schemas.microsoft.com/office/drawing/2014/main" id="{00000000-0008-0000-03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xdr:row>
          <xdr:rowOff>95250</xdr:rowOff>
        </xdr:from>
        <xdr:to>
          <xdr:col>52</xdr:col>
          <xdr:colOff>0</xdr:colOff>
          <xdr:row>34</xdr:row>
          <xdr:rowOff>38100</xdr:rowOff>
        </xdr:to>
        <xdr:sp macro="" textlink="">
          <xdr:nvSpPr>
            <xdr:cNvPr id="3120" name="Option Button 48"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32</xdr:row>
          <xdr:rowOff>38100</xdr:rowOff>
        </xdr:from>
        <xdr:to>
          <xdr:col>55</xdr:col>
          <xdr:colOff>0</xdr:colOff>
          <xdr:row>34</xdr:row>
          <xdr:rowOff>76200</xdr:rowOff>
        </xdr:to>
        <xdr:sp macro="" textlink="">
          <xdr:nvSpPr>
            <xdr:cNvPr id="3121" name="Group Box 49" hidden="1">
              <a:extLst>
                <a:ext uri="{63B3BB69-23CF-44E3-9099-C40C66FF867C}">
                  <a14:compatExt spid="_x0000_s3121"/>
                </a:ext>
                <a:ext uri="{FF2B5EF4-FFF2-40B4-BE49-F238E27FC236}">
                  <a16:creationId xmlns:a16="http://schemas.microsoft.com/office/drawing/2014/main" id="{00000000-0008-0000-0300-00003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49</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46</xdr:col>
          <xdr:colOff>0</xdr:colOff>
          <xdr:row>39</xdr:row>
          <xdr:rowOff>38100</xdr:rowOff>
        </xdr:to>
        <xdr:sp macro="" textlink="">
          <xdr:nvSpPr>
            <xdr:cNvPr id="3122" name="Option Button 50"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52</xdr:col>
          <xdr:colOff>0</xdr:colOff>
          <xdr:row>39</xdr:row>
          <xdr:rowOff>38100</xdr:rowOff>
        </xdr:to>
        <xdr:sp macro="" textlink="">
          <xdr:nvSpPr>
            <xdr:cNvPr id="3123" name="Option Button 51"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161925</xdr:colOff>
          <xdr:row>37</xdr:row>
          <xdr:rowOff>38100</xdr:rowOff>
        </xdr:from>
        <xdr:to>
          <xdr:col>54</xdr:col>
          <xdr:colOff>190500</xdr:colOff>
          <xdr:row>39</xdr:row>
          <xdr:rowOff>95250</xdr:rowOff>
        </xdr:to>
        <xdr:sp macro="" textlink="">
          <xdr:nvSpPr>
            <xdr:cNvPr id="3124" name="Group Box 52"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52</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38</xdr:row>
          <xdr:rowOff>95250</xdr:rowOff>
        </xdr:from>
        <xdr:to>
          <xdr:col>46</xdr:col>
          <xdr:colOff>0</xdr:colOff>
          <xdr:row>40</xdr:row>
          <xdr:rowOff>38100</xdr:rowOff>
        </xdr:to>
        <xdr:sp macro="" textlink="">
          <xdr:nvSpPr>
            <xdr:cNvPr id="3125" name="Option Button 53"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95250</xdr:rowOff>
        </xdr:from>
        <xdr:to>
          <xdr:col>52</xdr:col>
          <xdr:colOff>0</xdr:colOff>
          <xdr:row>40</xdr:row>
          <xdr:rowOff>38100</xdr:rowOff>
        </xdr:to>
        <xdr:sp macro="" textlink="">
          <xdr:nvSpPr>
            <xdr:cNvPr id="3126" name="Option Button 54" hidden="1">
              <a:extLst>
                <a:ext uri="{63B3BB69-23CF-44E3-9099-C40C66FF867C}">
                  <a14:compatExt spid="_x0000_s3126"/>
                </a:ext>
                <a:ext uri="{FF2B5EF4-FFF2-40B4-BE49-F238E27FC236}">
                  <a16:creationId xmlns:a16="http://schemas.microsoft.com/office/drawing/2014/main" id="{00000000-0008-0000-0300-00003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38</xdr:row>
          <xdr:rowOff>57150</xdr:rowOff>
        </xdr:from>
        <xdr:to>
          <xdr:col>55</xdr:col>
          <xdr:colOff>95250</xdr:colOff>
          <xdr:row>40</xdr:row>
          <xdr:rowOff>95250</xdr:rowOff>
        </xdr:to>
        <xdr:sp macro="" textlink="">
          <xdr:nvSpPr>
            <xdr:cNvPr id="3127" name="Group Box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55</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42</xdr:row>
          <xdr:rowOff>9525</xdr:rowOff>
        </xdr:from>
        <xdr:to>
          <xdr:col>46</xdr:col>
          <xdr:colOff>0</xdr:colOff>
          <xdr:row>43</xdr:row>
          <xdr:rowOff>95250</xdr:rowOff>
        </xdr:to>
        <xdr:sp macro="" textlink="">
          <xdr:nvSpPr>
            <xdr:cNvPr id="3128" name="Option Button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42</xdr:row>
          <xdr:rowOff>9525</xdr:rowOff>
        </xdr:from>
        <xdr:to>
          <xdr:col>52</xdr:col>
          <xdr:colOff>0</xdr:colOff>
          <xdr:row>43</xdr:row>
          <xdr:rowOff>95250</xdr:rowOff>
        </xdr:to>
        <xdr:sp macro="" textlink="">
          <xdr:nvSpPr>
            <xdr:cNvPr id="3129" name="Option Button 57"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41</xdr:row>
          <xdr:rowOff>66675</xdr:rowOff>
        </xdr:from>
        <xdr:to>
          <xdr:col>54</xdr:col>
          <xdr:colOff>133350</xdr:colOff>
          <xdr:row>44</xdr:row>
          <xdr:rowOff>95250</xdr:rowOff>
        </xdr:to>
        <xdr:sp macro="" textlink="">
          <xdr:nvSpPr>
            <xdr:cNvPr id="3130" name="Group Box 58" hidden="1">
              <a:extLst>
                <a:ext uri="{63B3BB69-23CF-44E3-9099-C40C66FF867C}">
                  <a14:compatExt spid="_x0000_s3130"/>
                </a:ext>
                <a:ext uri="{FF2B5EF4-FFF2-40B4-BE49-F238E27FC236}">
                  <a16:creationId xmlns:a16="http://schemas.microsoft.com/office/drawing/2014/main" id="{00000000-0008-0000-0300-00003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58</a:t>
              </a:r>
              <a:endParaRPr lang="pt-BR" sz="900" b="0" i="0" u="none" strike="noStrike" baseline="0">
                <a:solidFill>
                  <a:srgbClr val="000000"/>
                </a:solidFill>
                <a:latin typeface="Meiryo UI"/>
              </a:endParaRP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15875</xdr:colOff>
      <xdr:row>21</xdr:row>
      <xdr:rowOff>114300</xdr:rowOff>
    </xdr:from>
    <xdr:to>
      <xdr:col>55</xdr:col>
      <xdr:colOff>101965</xdr:colOff>
      <xdr:row>41</xdr:row>
      <xdr:rowOff>52917</xdr:rowOff>
    </xdr:to>
    <xdr:sp macro="" textlink="">
      <xdr:nvSpPr>
        <xdr:cNvPr id="2" name="角丸四角形 1">
          <a:extLst>
            <a:ext uri="{FF2B5EF4-FFF2-40B4-BE49-F238E27FC236}">
              <a16:creationId xmlns:a16="http://schemas.microsoft.com/office/drawing/2014/main" id="{00000000-0008-0000-0400-000002000000}"/>
            </a:ext>
          </a:extLst>
        </xdr:cNvPr>
        <xdr:cNvSpPr/>
      </xdr:nvSpPr>
      <xdr:spPr bwMode="auto">
        <a:xfrm>
          <a:off x="225425" y="3638550"/>
          <a:ext cx="10954115" cy="2986617"/>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15875</xdr:colOff>
      <xdr:row>3</xdr:row>
      <xdr:rowOff>126999</xdr:rowOff>
    </xdr:from>
    <xdr:to>
      <xdr:col>55</xdr:col>
      <xdr:colOff>114300</xdr:colOff>
      <xdr:row>19</xdr:row>
      <xdr:rowOff>31750</xdr:rowOff>
    </xdr:to>
    <xdr:sp macro="" textlink="">
      <xdr:nvSpPr>
        <xdr:cNvPr id="3" name="角丸四角形 2">
          <a:extLst>
            <a:ext uri="{FF2B5EF4-FFF2-40B4-BE49-F238E27FC236}">
              <a16:creationId xmlns:a16="http://schemas.microsoft.com/office/drawing/2014/main" id="{00000000-0008-0000-0400-000003000000}"/>
            </a:ext>
          </a:extLst>
        </xdr:cNvPr>
        <xdr:cNvSpPr/>
      </xdr:nvSpPr>
      <xdr:spPr bwMode="auto">
        <a:xfrm>
          <a:off x="225425" y="908049"/>
          <a:ext cx="10966450" cy="234315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20</xdr:row>
      <xdr:rowOff>101600</xdr:rowOff>
    </xdr:from>
    <xdr:to>
      <xdr:col>13</xdr:col>
      <xdr:colOff>63500</xdr:colOff>
      <xdr:row>22</xdr:row>
      <xdr:rowOff>92075</xdr:rowOff>
    </xdr:to>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4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42</xdr:row>
      <xdr:rowOff>159638</xdr:rowOff>
    </xdr:from>
    <xdr:to>
      <xdr:col>21</xdr:col>
      <xdr:colOff>100800</xdr:colOff>
      <xdr:row>71</xdr:row>
      <xdr:rowOff>132651</xdr:rowOff>
    </xdr:to>
    <xdr:grpSp>
      <xdr:nvGrpSpPr>
        <xdr:cNvPr id="7" name="グループ化 6">
          <a:extLst>
            <a:ext uri="{FF2B5EF4-FFF2-40B4-BE49-F238E27FC236}">
              <a16:creationId xmlns:a16="http://schemas.microsoft.com/office/drawing/2014/main" id="{00000000-0008-0000-0400-000007000000}"/>
            </a:ext>
          </a:extLst>
        </xdr:cNvPr>
        <xdr:cNvGrpSpPr/>
      </xdr:nvGrpSpPr>
      <xdr:grpSpPr>
        <a:xfrm>
          <a:off x="87924" y="6884288"/>
          <a:ext cx="4413426" cy="5259388"/>
          <a:chOff x="976313" y="1484784"/>
          <a:chExt cx="7191375" cy="7920880"/>
        </a:xfrm>
      </xdr:grpSpPr>
      <xdr:pic>
        <xdr:nvPicPr>
          <xdr:cNvPr id="8" name="Picture 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22</xdr:col>
      <xdr:colOff>194566</xdr:colOff>
      <xdr:row>43</xdr:row>
      <xdr:rowOff>8859</xdr:rowOff>
    </xdr:from>
    <xdr:to>
      <xdr:col>48</xdr:col>
      <xdr:colOff>161720</xdr:colOff>
      <xdr:row>77</xdr:row>
      <xdr:rowOff>61546</xdr:rowOff>
    </xdr:to>
    <xdr:pic>
      <xdr:nvPicPr>
        <xdr:cNvPr id="10" name="Picture 5">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04666" y="6914484"/>
          <a:ext cx="5415454" cy="6120112"/>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94751</xdr:colOff>
      <xdr:row>28</xdr:row>
      <xdr:rowOff>121151</xdr:rowOff>
    </xdr:from>
    <xdr:to>
      <xdr:col>19</xdr:col>
      <xdr:colOff>142377</xdr:colOff>
      <xdr:row>32</xdr:row>
      <xdr:rowOff>66675</xdr:rowOff>
    </xdr:to>
    <xdr:sp macro="" textlink="">
      <xdr:nvSpPr>
        <xdr:cNvPr id="11" name="下矢印 10">
          <a:extLst>
            <a:ext uri="{FF2B5EF4-FFF2-40B4-BE49-F238E27FC236}">
              <a16:creationId xmlns:a16="http://schemas.microsoft.com/office/drawing/2014/main" id="{00000000-0008-0000-0400-00000B000000}"/>
            </a:ext>
          </a:extLst>
        </xdr:cNvPr>
        <xdr:cNvSpPr/>
      </xdr:nvSpPr>
      <xdr:spPr bwMode="auto">
        <a:xfrm rot="16200000">
          <a:off x="3612902" y="4756400"/>
          <a:ext cx="555124"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94751</xdr:colOff>
      <xdr:row>10</xdr:row>
      <xdr:rowOff>16376</xdr:rowOff>
    </xdr:from>
    <xdr:to>
      <xdr:col>19</xdr:col>
      <xdr:colOff>142377</xdr:colOff>
      <xdr:row>13</xdr:row>
      <xdr:rowOff>114300</xdr:rowOff>
    </xdr:to>
    <xdr:sp macro="" textlink="">
      <xdr:nvSpPr>
        <xdr:cNvPr id="27" name="下矢印 26">
          <a:extLst>
            <a:ext uri="{FF2B5EF4-FFF2-40B4-BE49-F238E27FC236}">
              <a16:creationId xmlns:a16="http://schemas.microsoft.com/office/drawing/2014/main" id="{00000000-0008-0000-0400-00001B000000}"/>
            </a:ext>
          </a:extLst>
        </xdr:cNvPr>
        <xdr:cNvSpPr/>
      </xdr:nvSpPr>
      <xdr:spPr bwMode="auto">
        <a:xfrm rot="16200000">
          <a:off x="3612902" y="1908425"/>
          <a:ext cx="555124"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95250</xdr:rowOff>
        </xdr:from>
        <xdr:to>
          <xdr:col>46</xdr:col>
          <xdr:colOff>0</xdr:colOff>
          <xdr:row>7</xdr:row>
          <xdr:rowOff>28575</xdr:rowOff>
        </xdr:to>
        <xdr:sp macro="" textlink="">
          <xdr:nvSpPr>
            <xdr:cNvPr id="4115" name="Option 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95250</xdr:rowOff>
        </xdr:from>
        <xdr:to>
          <xdr:col>52</xdr:col>
          <xdr:colOff>0</xdr:colOff>
          <xdr:row>7</xdr:row>
          <xdr:rowOff>28575</xdr:rowOff>
        </xdr:to>
        <xdr:sp macro="" textlink="">
          <xdr:nvSpPr>
            <xdr:cNvPr id="4116" name="Option Button 20"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5</xdr:row>
          <xdr:rowOff>28575</xdr:rowOff>
        </xdr:from>
        <xdr:to>
          <xdr:col>54</xdr:col>
          <xdr:colOff>114300</xdr:colOff>
          <xdr:row>7</xdr:row>
          <xdr:rowOff>76200</xdr:rowOff>
        </xdr:to>
        <xdr:sp macro="" textlink="">
          <xdr:nvSpPr>
            <xdr:cNvPr id="4117" name="Group Box 21"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21</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15</xdr:row>
          <xdr:rowOff>9525</xdr:rowOff>
        </xdr:from>
        <xdr:to>
          <xdr:col>46</xdr:col>
          <xdr:colOff>0</xdr:colOff>
          <xdr:row>16</xdr:row>
          <xdr:rowOff>95250</xdr:rowOff>
        </xdr:to>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15</xdr:row>
          <xdr:rowOff>9525</xdr:rowOff>
        </xdr:from>
        <xdr:to>
          <xdr:col>52</xdr:col>
          <xdr:colOff>0</xdr:colOff>
          <xdr:row>16</xdr:row>
          <xdr:rowOff>95250</xdr:rowOff>
        </xdr:to>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14</xdr:row>
          <xdr:rowOff>95250</xdr:rowOff>
        </xdr:from>
        <xdr:to>
          <xdr:col>54</xdr:col>
          <xdr:colOff>161925</xdr:colOff>
          <xdr:row>17</xdr:row>
          <xdr:rowOff>66675</xdr:rowOff>
        </xdr:to>
        <xdr:sp macro="" textlink="">
          <xdr:nvSpPr>
            <xdr:cNvPr id="4120" name="Group Box 24" hidden="1">
              <a:extLst>
                <a:ext uri="{63B3BB69-23CF-44E3-9099-C40C66FF867C}">
                  <a14:compatExt spid="_x0000_s4120"/>
                </a:ext>
                <a:ext uri="{FF2B5EF4-FFF2-40B4-BE49-F238E27FC236}">
                  <a16:creationId xmlns:a16="http://schemas.microsoft.com/office/drawing/2014/main" id="{00000000-0008-0000-0400-00001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24</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24</xdr:row>
          <xdr:rowOff>95250</xdr:rowOff>
        </xdr:from>
        <xdr:to>
          <xdr:col>46</xdr:col>
          <xdr:colOff>0</xdr:colOff>
          <xdr:row>26</xdr:row>
          <xdr:rowOff>28575</xdr:rowOff>
        </xdr:to>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24</xdr:row>
          <xdr:rowOff>95250</xdr:rowOff>
        </xdr:from>
        <xdr:to>
          <xdr:col>52</xdr:col>
          <xdr:colOff>0</xdr:colOff>
          <xdr:row>26</xdr:row>
          <xdr:rowOff>28575</xdr:rowOff>
        </xdr:to>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24</xdr:row>
          <xdr:rowOff>66675</xdr:rowOff>
        </xdr:from>
        <xdr:to>
          <xdr:col>54</xdr:col>
          <xdr:colOff>190500</xdr:colOff>
          <xdr:row>26</xdr:row>
          <xdr:rowOff>66675</xdr:rowOff>
        </xdr:to>
        <xdr:sp macro="" textlink="">
          <xdr:nvSpPr>
            <xdr:cNvPr id="4123" name="Group Box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27</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32</xdr:row>
          <xdr:rowOff>95250</xdr:rowOff>
        </xdr:from>
        <xdr:to>
          <xdr:col>46</xdr:col>
          <xdr:colOff>0</xdr:colOff>
          <xdr:row>34</xdr:row>
          <xdr:rowOff>28575</xdr:rowOff>
        </xdr:to>
        <xdr:sp macro="" textlink="">
          <xdr:nvSpPr>
            <xdr:cNvPr id="4124" name="Option Button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xdr:row>
          <xdr:rowOff>95250</xdr:rowOff>
        </xdr:from>
        <xdr:to>
          <xdr:col>52</xdr:col>
          <xdr:colOff>0</xdr:colOff>
          <xdr:row>34</xdr:row>
          <xdr:rowOff>28575</xdr:rowOff>
        </xdr:to>
        <xdr:sp macro="" textlink="">
          <xdr:nvSpPr>
            <xdr:cNvPr id="4125" name="Option Button 29" hidden="1">
              <a:extLst>
                <a:ext uri="{63B3BB69-23CF-44E3-9099-C40C66FF867C}">
                  <a14:compatExt spid="_x0000_s4125"/>
                </a:ext>
                <a:ext uri="{FF2B5EF4-FFF2-40B4-BE49-F238E27FC236}">
                  <a16:creationId xmlns:a16="http://schemas.microsoft.com/office/drawing/2014/main" id="{00000000-0008-0000-04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32</xdr:row>
          <xdr:rowOff>57150</xdr:rowOff>
        </xdr:from>
        <xdr:to>
          <xdr:col>55</xdr:col>
          <xdr:colOff>66675</xdr:colOff>
          <xdr:row>34</xdr:row>
          <xdr:rowOff>95250</xdr:rowOff>
        </xdr:to>
        <xdr:sp macro="" textlink="">
          <xdr:nvSpPr>
            <xdr:cNvPr id="4126" name="Group Box 30"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30</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36</xdr:row>
          <xdr:rowOff>9525</xdr:rowOff>
        </xdr:from>
        <xdr:to>
          <xdr:col>46</xdr:col>
          <xdr:colOff>0</xdr:colOff>
          <xdr:row>37</xdr:row>
          <xdr:rowOff>95250</xdr:rowOff>
        </xdr:to>
        <xdr:sp macro="" textlink="">
          <xdr:nvSpPr>
            <xdr:cNvPr id="4128" name="Option Button 32" hidden="1">
              <a:extLst>
                <a:ext uri="{63B3BB69-23CF-44E3-9099-C40C66FF867C}">
                  <a14:compatExt spid="_x0000_s4128"/>
                </a:ext>
                <a:ext uri="{FF2B5EF4-FFF2-40B4-BE49-F238E27FC236}">
                  <a16:creationId xmlns:a16="http://schemas.microsoft.com/office/drawing/2014/main" id="{00000000-0008-0000-04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36</xdr:row>
          <xdr:rowOff>9525</xdr:rowOff>
        </xdr:from>
        <xdr:to>
          <xdr:col>52</xdr:col>
          <xdr:colOff>0</xdr:colOff>
          <xdr:row>37</xdr:row>
          <xdr:rowOff>95250</xdr:rowOff>
        </xdr:to>
        <xdr:sp macro="" textlink="">
          <xdr:nvSpPr>
            <xdr:cNvPr id="4129" name="Option Button 33" hidden="1">
              <a:extLst>
                <a:ext uri="{63B3BB69-23CF-44E3-9099-C40C66FF867C}">
                  <a14:compatExt spid="_x0000_s4129"/>
                </a:ext>
                <a:ext uri="{FF2B5EF4-FFF2-40B4-BE49-F238E27FC236}">
                  <a16:creationId xmlns:a16="http://schemas.microsoft.com/office/drawing/2014/main" id="{00000000-0008-0000-04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35</xdr:row>
          <xdr:rowOff>66675</xdr:rowOff>
        </xdr:from>
        <xdr:to>
          <xdr:col>54</xdr:col>
          <xdr:colOff>123825</xdr:colOff>
          <xdr:row>38</xdr:row>
          <xdr:rowOff>76200</xdr:rowOff>
        </xdr:to>
        <xdr:sp macro="" textlink="">
          <xdr:nvSpPr>
            <xdr:cNvPr id="4130" name="Group Box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34</a:t>
              </a:r>
              <a:endParaRPr lang="pt-BR" sz="900" b="0" i="0" u="none" strike="noStrike" baseline="0">
                <a:solidFill>
                  <a:srgbClr val="000000"/>
                </a:solidFill>
                <a:latin typeface="Meiryo UI"/>
              </a:endParaRP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9" Type="http://schemas.openxmlformats.org/officeDocument/2006/relationships/ctrlProp" Target="../ctrlProps/ctrlProp72.xml"/><Relationship Id="rId3" Type="http://schemas.openxmlformats.org/officeDocument/2006/relationships/vmlDrawing" Target="../drawings/vmlDrawing2.vml"/><Relationship Id="rId21" Type="http://schemas.openxmlformats.org/officeDocument/2006/relationships/ctrlProp" Target="../ctrlProps/ctrlProp54.xml"/><Relationship Id="rId34" Type="http://schemas.openxmlformats.org/officeDocument/2006/relationships/ctrlProp" Target="../ctrlProps/ctrlProp67.xml"/><Relationship Id="rId42" Type="http://schemas.openxmlformats.org/officeDocument/2006/relationships/ctrlProp" Target="../ctrlProps/ctrlProp75.xml"/><Relationship Id="rId47" Type="http://schemas.openxmlformats.org/officeDocument/2006/relationships/ctrlProp" Target="../ctrlProps/ctrlProp80.xml"/><Relationship Id="rId50" Type="http://schemas.openxmlformats.org/officeDocument/2006/relationships/ctrlProp" Target="../ctrlProps/ctrlProp83.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38" Type="http://schemas.openxmlformats.org/officeDocument/2006/relationships/ctrlProp" Target="../ctrlProps/ctrlProp71.xml"/><Relationship Id="rId46" Type="http://schemas.openxmlformats.org/officeDocument/2006/relationships/ctrlProp" Target="../ctrlProps/ctrlProp79.xml"/><Relationship Id="rId2" Type="http://schemas.openxmlformats.org/officeDocument/2006/relationships/drawing" Target="../drawings/drawing3.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41" Type="http://schemas.openxmlformats.org/officeDocument/2006/relationships/ctrlProp" Target="../ctrlProps/ctrlProp74.xml"/><Relationship Id="rId54" Type="http://schemas.openxmlformats.org/officeDocument/2006/relationships/ctrlProp" Target="../ctrlProps/ctrlProp87.xml"/><Relationship Id="rId1" Type="http://schemas.openxmlformats.org/officeDocument/2006/relationships/printerSettings" Target="../printerSettings/printerSettings2.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37" Type="http://schemas.openxmlformats.org/officeDocument/2006/relationships/ctrlProp" Target="../ctrlProps/ctrlProp70.xml"/><Relationship Id="rId40" Type="http://schemas.openxmlformats.org/officeDocument/2006/relationships/ctrlProp" Target="../ctrlProps/ctrlProp73.xml"/><Relationship Id="rId45" Type="http://schemas.openxmlformats.org/officeDocument/2006/relationships/ctrlProp" Target="../ctrlProps/ctrlProp78.xml"/><Relationship Id="rId53" Type="http://schemas.openxmlformats.org/officeDocument/2006/relationships/ctrlProp" Target="../ctrlProps/ctrlProp86.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36" Type="http://schemas.openxmlformats.org/officeDocument/2006/relationships/ctrlProp" Target="../ctrlProps/ctrlProp69.xml"/><Relationship Id="rId49" Type="http://schemas.openxmlformats.org/officeDocument/2006/relationships/ctrlProp" Target="../ctrlProps/ctrlProp82.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4" Type="http://schemas.openxmlformats.org/officeDocument/2006/relationships/ctrlProp" Target="../ctrlProps/ctrlProp77.xml"/><Relationship Id="rId52" Type="http://schemas.openxmlformats.org/officeDocument/2006/relationships/ctrlProp" Target="../ctrlProps/ctrlProp85.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35" Type="http://schemas.openxmlformats.org/officeDocument/2006/relationships/ctrlProp" Target="../ctrlProps/ctrlProp68.xml"/><Relationship Id="rId43" Type="http://schemas.openxmlformats.org/officeDocument/2006/relationships/ctrlProp" Target="../ctrlProps/ctrlProp76.xml"/><Relationship Id="rId48" Type="http://schemas.openxmlformats.org/officeDocument/2006/relationships/ctrlProp" Target="../ctrlProps/ctrlProp81.xml"/><Relationship Id="rId8" Type="http://schemas.openxmlformats.org/officeDocument/2006/relationships/ctrlProp" Target="../ctrlProps/ctrlProp41.xml"/><Relationship Id="rId51" Type="http://schemas.openxmlformats.org/officeDocument/2006/relationships/ctrlProp" Target="../ctrlProps/ctrlProp8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2.xml"/><Relationship Id="rId13" Type="http://schemas.openxmlformats.org/officeDocument/2006/relationships/ctrlProp" Target="../ctrlProps/ctrlProp97.xml"/><Relationship Id="rId18" Type="http://schemas.openxmlformats.org/officeDocument/2006/relationships/ctrlProp" Target="../ctrlProps/ctrlProp102.xml"/><Relationship Id="rId26" Type="http://schemas.openxmlformats.org/officeDocument/2006/relationships/ctrlProp" Target="../ctrlProps/ctrlProp110.xml"/><Relationship Id="rId3" Type="http://schemas.openxmlformats.org/officeDocument/2006/relationships/vmlDrawing" Target="../drawings/vmlDrawing3.vml"/><Relationship Id="rId21" Type="http://schemas.openxmlformats.org/officeDocument/2006/relationships/ctrlProp" Target="../ctrlProps/ctrlProp105.xml"/><Relationship Id="rId7" Type="http://schemas.openxmlformats.org/officeDocument/2006/relationships/ctrlProp" Target="../ctrlProps/ctrlProp91.xml"/><Relationship Id="rId12" Type="http://schemas.openxmlformats.org/officeDocument/2006/relationships/ctrlProp" Target="../ctrlProps/ctrlProp96.xml"/><Relationship Id="rId17" Type="http://schemas.openxmlformats.org/officeDocument/2006/relationships/ctrlProp" Target="../ctrlProps/ctrlProp101.xml"/><Relationship Id="rId25" Type="http://schemas.openxmlformats.org/officeDocument/2006/relationships/ctrlProp" Target="../ctrlProps/ctrlProp109.xml"/><Relationship Id="rId2" Type="http://schemas.openxmlformats.org/officeDocument/2006/relationships/drawing" Target="../drawings/drawing4.xml"/><Relationship Id="rId16" Type="http://schemas.openxmlformats.org/officeDocument/2006/relationships/ctrlProp" Target="../ctrlProps/ctrlProp100.xml"/><Relationship Id="rId20" Type="http://schemas.openxmlformats.org/officeDocument/2006/relationships/ctrlProp" Target="../ctrlProps/ctrlProp104.xml"/><Relationship Id="rId1" Type="http://schemas.openxmlformats.org/officeDocument/2006/relationships/printerSettings" Target="../printerSettings/printerSettings3.bin"/><Relationship Id="rId6" Type="http://schemas.openxmlformats.org/officeDocument/2006/relationships/ctrlProp" Target="../ctrlProps/ctrlProp90.xml"/><Relationship Id="rId11" Type="http://schemas.openxmlformats.org/officeDocument/2006/relationships/ctrlProp" Target="../ctrlProps/ctrlProp95.xml"/><Relationship Id="rId24" Type="http://schemas.openxmlformats.org/officeDocument/2006/relationships/ctrlProp" Target="../ctrlProps/ctrlProp108.xml"/><Relationship Id="rId5" Type="http://schemas.openxmlformats.org/officeDocument/2006/relationships/ctrlProp" Target="../ctrlProps/ctrlProp89.xml"/><Relationship Id="rId15" Type="http://schemas.openxmlformats.org/officeDocument/2006/relationships/ctrlProp" Target="../ctrlProps/ctrlProp99.xml"/><Relationship Id="rId23" Type="http://schemas.openxmlformats.org/officeDocument/2006/relationships/ctrlProp" Target="../ctrlProps/ctrlProp107.xml"/><Relationship Id="rId10" Type="http://schemas.openxmlformats.org/officeDocument/2006/relationships/ctrlProp" Target="../ctrlProps/ctrlProp94.xml"/><Relationship Id="rId19" Type="http://schemas.openxmlformats.org/officeDocument/2006/relationships/ctrlProp" Target="../ctrlProps/ctrlProp103.xml"/><Relationship Id="rId4" Type="http://schemas.openxmlformats.org/officeDocument/2006/relationships/ctrlProp" Target="../ctrlProps/ctrlProp88.xml"/><Relationship Id="rId9" Type="http://schemas.openxmlformats.org/officeDocument/2006/relationships/ctrlProp" Target="../ctrlProps/ctrlProp93.xml"/><Relationship Id="rId14" Type="http://schemas.openxmlformats.org/officeDocument/2006/relationships/ctrlProp" Target="../ctrlProps/ctrlProp98.xml"/><Relationship Id="rId22" Type="http://schemas.openxmlformats.org/officeDocument/2006/relationships/ctrlProp" Target="../ctrlProps/ctrlProp106.xml"/><Relationship Id="rId27" Type="http://schemas.openxmlformats.org/officeDocument/2006/relationships/ctrlProp" Target="../ctrlProps/ctrlProp1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6.xml"/><Relationship Id="rId13" Type="http://schemas.openxmlformats.org/officeDocument/2006/relationships/ctrlProp" Target="../ctrlProps/ctrlProp121.xml"/><Relationship Id="rId18" Type="http://schemas.openxmlformats.org/officeDocument/2006/relationships/ctrlProp" Target="../ctrlProps/ctrlProp126.xml"/><Relationship Id="rId3" Type="http://schemas.openxmlformats.org/officeDocument/2006/relationships/vmlDrawing" Target="../drawings/vmlDrawing4.vml"/><Relationship Id="rId7" Type="http://schemas.openxmlformats.org/officeDocument/2006/relationships/ctrlProp" Target="../ctrlProps/ctrlProp115.xml"/><Relationship Id="rId12" Type="http://schemas.openxmlformats.org/officeDocument/2006/relationships/ctrlProp" Target="../ctrlProps/ctrlProp120.xml"/><Relationship Id="rId17" Type="http://schemas.openxmlformats.org/officeDocument/2006/relationships/ctrlProp" Target="../ctrlProps/ctrlProp125.xml"/><Relationship Id="rId2" Type="http://schemas.openxmlformats.org/officeDocument/2006/relationships/drawing" Target="../drawings/drawing5.xml"/><Relationship Id="rId16" Type="http://schemas.openxmlformats.org/officeDocument/2006/relationships/ctrlProp" Target="../ctrlProps/ctrlProp124.xml"/><Relationship Id="rId1" Type="http://schemas.openxmlformats.org/officeDocument/2006/relationships/printerSettings" Target="../printerSettings/printerSettings4.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5" Type="http://schemas.openxmlformats.org/officeDocument/2006/relationships/ctrlProp" Target="../ctrlProps/ctrlProp123.xml"/><Relationship Id="rId10" Type="http://schemas.openxmlformats.org/officeDocument/2006/relationships/ctrlProp" Target="../ctrlProps/ctrlProp118.xml"/><Relationship Id="rId4" Type="http://schemas.openxmlformats.org/officeDocument/2006/relationships/ctrlProp" Target="../ctrlProps/ctrlProp112.xml"/><Relationship Id="rId9" Type="http://schemas.openxmlformats.org/officeDocument/2006/relationships/ctrlProp" Target="../ctrlProps/ctrlProp117.xml"/><Relationship Id="rId14" Type="http://schemas.openxmlformats.org/officeDocument/2006/relationships/ctrlProp" Target="../ctrlProps/ctrlProp12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1:P56"/>
  <sheetViews>
    <sheetView workbookViewId="0">
      <selection activeCell="P3" sqref="P3"/>
    </sheetView>
  </sheetViews>
  <sheetFormatPr defaultColWidth="9" defaultRowHeight="13.5"/>
  <cols>
    <col min="1" max="16384" width="9" style="95"/>
  </cols>
  <sheetData>
    <row r="11" spans="1:16">
      <c r="A11" s="94"/>
      <c r="B11" s="94"/>
      <c r="C11" s="94"/>
      <c r="D11" s="94"/>
      <c r="E11" s="94"/>
      <c r="F11" s="94"/>
      <c r="G11" s="94"/>
      <c r="H11" s="94"/>
      <c r="I11" s="94"/>
      <c r="J11" s="94"/>
      <c r="K11" s="94"/>
      <c r="L11" s="94"/>
      <c r="M11" s="94"/>
      <c r="N11" s="94"/>
      <c r="O11" s="94"/>
      <c r="P11" s="94"/>
    </row>
    <row r="12" spans="1:16">
      <c r="A12" s="94"/>
      <c r="B12" s="94"/>
      <c r="C12" s="94"/>
      <c r="D12" s="94"/>
      <c r="E12" s="94"/>
      <c r="F12" s="94"/>
      <c r="G12" s="94"/>
      <c r="H12" s="94"/>
      <c r="I12" s="94"/>
      <c r="J12" s="94"/>
      <c r="K12" s="94"/>
      <c r="L12" s="94"/>
      <c r="M12" s="94"/>
      <c r="N12" s="94"/>
      <c r="O12" s="94"/>
      <c r="P12" s="94"/>
    </row>
    <row r="13" spans="1:16">
      <c r="A13" s="94"/>
      <c r="B13" s="94"/>
      <c r="C13" s="94"/>
      <c r="D13" s="94"/>
      <c r="E13" s="94"/>
      <c r="F13" s="94"/>
      <c r="G13" s="94"/>
      <c r="H13" s="94"/>
      <c r="I13" s="94"/>
      <c r="J13" s="94"/>
      <c r="K13" s="94"/>
      <c r="L13" s="94"/>
      <c r="M13" s="94"/>
      <c r="N13" s="94"/>
      <c r="O13" s="94"/>
      <c r="P13" s="94"/>
    </row>
    <row r="14" spans="1:16">
      <c r="A14" s="94"/>
      <c r="B14" s="94"/>
      <c r="C14" s="94"/>
      <c r="D14" s="94"/>
      <c r="E14" s="94"/>
      <c r="F14" s="94"/>
      <c r="G14" s="94"/>
      <c r="H14" s="94"/>
      <c r="I14" s="94"/>
      <c r="J14" s="94"/>
      <c r="K14" s="94"/>
      <c r="L14" s="94"/>
      <c r="M14" s="94"/>
      <c r="N14" s="94"/>
      <c r="O14" s="94"/>
      <c r="P14" s="94"/>
    </row>
    <row r="15" spans="1:16">
      <c r="A15" s="94"/>
      <c r="B15" s="94"/>
      <c r="C15" s="94"/>
      <c r="D15" s="94"/>
      <c r="E15" s="94"/>
      <c r="F15" s="94"/>
      <c r="G15" s="94"/>
      <c r="H15" s="94"/>
      <c r="I15" s="94"/>
      <c r="J15" s="94"/>
      <c r="K15" s="94"/>
      <c r="L15" s="94"/>
      <c r="M15" s="94"/>
      <c r="N15" s="94"/>
      <c r="O15" s="94"/>
      <c r="P15" s="94"/>
    </row>
    <row r="16" spans="1:16">
      <c r="A16" s="94"/>
      <c r="B16" s="94"/>
      <c r="C16" s="94"/>
      <c r="D16" s="94"/>
      <c r="E16" s="94"/>
      <c r="F16" s="94"/>
      <c r="G16" s="94"/>
      <c r="H16" s="94"/>
      <c r="I16" s="94"/>
      <c r="J16" s="94"/>
      <c r="K16" s="94"/>
      <c r="L16" s="94"/>
      <c r="M16" s="94"/>
      <c r="N16" s="94"/>
      <c r="O16" s="94"/>
      <c r="P16" s="94"/>
    </row>
    <row r="17" spans="1:16">
      <c r="A17" s="94"/>
      <c r="B17" s="94"/>
      <c r="C17" s="94"/>
      <c r="D17" s="94"/>
      <c r="E17" s="94"/>
      <c r="F17" s="94"/>
      <c r="G17" s="94"/>
      <c r="H17" s="94"/>
      <c r="I17" s="94"/>
      <c r="J17" s="94"/>
      <c r="K17" s="94"/>
      <c r="L17" s="94"/>
      <c r="M17" s="94"/>
      <c r="N17" s="94"/>
      <c r="O17" s="94"/>
      <c r="P17" s="94"/>
    </row>
    <row r="18" spans="1:16">
      <c r="A18" s="94"/>
      <c r="B18" s="94"/>
      <c r="C18" s="94"/>
      <c r="D18" s="94"/>
      <c r="E18" s="94"/>
      <c r="F18" s="94"/>
      <c r="G18" s="94"/>
      <c r="H18" s="94"/>
      <c r="I18" s="94"/>
      <c r="J18" s="94"/>
      <c r="K18" s="94"/>
      <c r="L18" s="94"/>
      <c r="M18" s="94"/>
      <c r="N18" s="94"/>
      <c r="O18" s="94"/>
      <c r="P18" s="94"/>
    </row>
    <row r="19" spans="1:16">
      <c r="A19" s="94"/>
      <c r="B19" s="94"/>
      <c r="C19" s="94"/>
      <c r="D19" s="94"/>
      <c r="E19" s="94"/>
      <c r="F19" s="94"/>
      <c r="G19" s="94"/>
      <c r="H19" s="94"/>
      <c r="I19" s="94"/>
      <c r="J19" s="94"/>
      <c r="K19" s="94"/>
      <c r="L19" s="94"/>
      <c r="M19" s="94"/>
      <c r="N19" s="94"/>
      <c r="O19" s="94"/>
      <c r="P19" s="94"/>
    </row>
    <row r="20" spans="1:16">
      <c r="A20" s="94"/>
      <c r="B20" s="94"/>
      <c r="C20" s="94"/>
      <c r="D20" s="94"/>
      <c r="E20" s="94"/>
      <c r="F20" s="94"/>
      <c r="G20" s="94"/>
      <c r="H20" s="94"/>
      <c r="I20" s="94"/>
      <c r="J20" s="94"/>
      <c r="K20" s="94"/>
      <c r="L20" s="94"/>
      <c r="M20" s="94"/>
      <c r="N20" s="94"/>
      <c r="O20" s="94"/>
      <c r="P20" s="94"/>
    </row>
    <row r="21" spans="1:16">
      <c r="A21" s="94"/>
      <c r="B21" s="94"/>
      <c r="C21" s="94"/>
      <c r="D21" s="94"/>
      <c r="E21" s="94"/>
      <c r="F21" s="94"/>
      <c r="G21" s="94"/>
      <c r="H21" s="94"/>
      <c r="I21" s="94"/>
      <c r="J21" s="94"/>
      <c r="K21" s="94"/>
      <c r="L21" s="94"/>
      <c r="M21" s="94"/>
      <c r="N21" s="94"/>
      <c r="O21" s="94"/>
      <c r="P21" s="94"/>
    </row>
    <row r="22" spans="1:16">
      <c r="A22" s="94"/>
      <c r="B22" s="94"/>
      <c r="C22" s="94"/>
      <c r="D22" s="94"/>
      <c r="E22" s="94"/>
      <c r="F22" s="94"/>
      <c r="G22" s="94"/>
      <c r="H22" s="94"/>
      <c r="I22" s="94"/>
      <c r="J22" s="94"/>
      <c r="K22" s="94"/>
      <c r="L22" s="94"/>
      <c r="M22" s="94"/>
      <c r="N22" s="94"/>
      <c r="O22" s="94"/>
      <c r="P22" s="94"/>
    </row>
    <row r="23" spans="1:16">
      <c r="A23" s="94"/>
      <c r="B23" s="94"/>
      <c r="C23" s="94"/>
      <c r="D23" s="94"/>
      <c r="E23" s="94"/>
      <c r="F23" s="94"/>
      <c r="G23" s="94"/>
      <c r="H23" s="94"/>
      <c r="I23" s="94"/>
      <c r="J23" s="94"/>
      <c r="K23" s="94"/>
      <c r="L23" s="94"/>
      <c r="M23" s="94"/>
      <c r="N23" s="94"/>
      <c r="O23" s="94"/>
      <c r="P23" s="94"/>
    </row>
    <row r="24" spans="1:16">
      <c r="A24" s="94"/>
      <c r="B24" s="94"/>
      <c r="C24" s="94"/>
      <c r="D24" s="94"/>
      <c r="E24" s="94"/>
      <c r="F24" s="94"/>
      <c r="G24" s="94"/>
      <c r="H24" s="94"/>
      <c r="I24" s="94"/>
      <c r="J24" s="94"/>
      <c r="K24" s="94"/>
      <c r="L24" s="94"/>
      <c r="M24" s="94"/>
      <c r="N24" s="94"/>
      <c r="O24" s="94"/>
      <c r="P24" s="94"/>
    </row>
    <row r="25" spans="1:16">
      <c r="A25" s="94"/>
      <c r="B25" s="94"/>
      <c r="C25" s="94"/>
      <c r="D25" s="94"/>
      <c r="E25" s="94"/>
      <c r="F25" s="94"/>
      <c r="G25" s="94"/>
      <c r="H25" s="94"/>
      <c r="I25" s="94"/>
      <c r="J25" s="94"/>
      <c r="K25" s="94"/>
      <c r="L25" s="94"/>
      <c r="M25" s="94"/>
      <c r="N25" s="94"/>
      <c r="O25" s="94"/>
      <c r="P25" s="94"/>
    </row>
    <row r="26" spans="1:16">
      <c r="A26" s="94"/>
      <c r="B26" s="94"/>
      <c r="C26" s="94"/>
      <c r="D26" s="94"/>
      <c r="E26" s="94"/>
      <c r="F26" s="94"/>
      <c r="G26" s="94"/>
      <c r="H26" s="94"/>
      <c r="I26" s="94"/>
      <c r="J26" s="94"/>
      <c r="K26" s="94"/>
      <c r="L26" s="94"/>
      <c r="M26" s="94"/>
      <c r="N26" s="94"/>
      <c r="O26" s="94"/>
      <c r="P26" s="94"/>
    </row>
    <row r="27" spans="1:16">
      <c r="A27" s="94"/>
      <c r="B27" s="94"/>
      <c r="C27" s="94"/>
      <c r="D27" s="94"/>
      <c r="E27" s="94"/>
      <c r="F27" s="94"/>
      <c r="G27" s="94"/>
      <c r="H27" s="94"/>
      <c r="I27" s="94"/>
      <c r="J27" s="94"/>
      <c r="K27" s="94"/>
      <c r="L27" s="94"/>
      <c r="M27" s="94"/>
      <c r="N27" s="94"/>
      <c r="O27" s="94"/>
      <c r="P27" s="94"/>
    </row>
    <row r="28" spans="1:16">
      <c r="A28" s="94"/>
      <c r="B28" s="94"/>
      <c r="C28" s="94"/>
      <c r="D28" s="94"/>
      <c r="E28" s="94"/>
      <c r="F28" s="94"/>
      <c r="G28" s="94"/>
      <c r="H28" s="94"/>
      <c r="I28" s="94"/>
      <c r="J28" s="94"/>
      <c r="K28" s="94"/>
      <c r="L28" s="94"/>
      <c r="M28" s="94"/>
      <c r="N28" s="94"/>
      <c r="O28" s="94"/>
      <c r="P28" s="94"/>
    </row>
    <row r="29" spans="1:16">
      <c r="A29" s="94"/>
      <c r="B29" s="94"/>
      <c r="C29" s="94"/>
      <c r="D29" s="94"/>
      <c r="E29" s="94"/>
      <c r="F29" s="94"/>
      <c r="G29" s="94"/>
      <c r="H29" s="94"/>
      <c r="I29" s="94"/>
      <c r="J29" s="94"/>
      <c r="K29" s="94"/>
      <c r="L29" s="94"/>
      <c r="M29" s="94"/>
      <c r="N29" s="94"/>
      <c r="O29" s="94"/>
      <c r="P29" s="94"/>
    </row>
    <row r="30" spans="1:16">
      <c r="A30" s="94"/>
      <c r="B30" s="94"/>
      <c r="C30" s="94"/>
      <c r="D30" s="94"/>
      <c r="E30" s="94"/>
      <c r="F30" s="94"/>
      <c r="G30" s="94"/>
      <c r="H30" s="94"/>
      <c r="I30" s="94"/>
      <c r="J30" s="94"/>
      <c r="K30" s="94"/>
      <c r="L30" s="94"/>
      <c r="M30" s="94"/>
      <c r="N30" s="94"/>
      <c r="O30" s="94"/>
      <c r="P30" s="94"/>
    </row>
    <row r="31" spans="1:16">
      <c r="A31" s="94"/>
      <c r="B31" s="94"/>
      <c r="C31" s="94"/>
      <c r="D31" s="94"/>
      <c r="E31" s="94"/>
      <c r="F31" s="94"/>
      <c r="G31" s="94"/>
      <c r="H31" s="94"/>
      <c r="I31" s="94"/>
      <c r="J31" s="94"/>
      <c r="K31" s="94"/>
      <c r="L31" s="94"/>
      <c r="M31" s="94"/>
      <c r="N31" s="94"/>
      <c r="O31" s="94"/>
      <c r="P31" s="94"/>
    </row>
    <row r="32" spans="1:16">
      <c r="A32" s="94"/>
      <c r="B32" s="94"/>
      <c r="C32" s="94"/>
      <c r="D32" s="94"/>
      <c r="E32" s="94"/>
      <c r="F32" s="94"/>
      <c r="G32" s="94"/>
      <c r="H32" s="94"/>
      <c r="I32" s="94"/>
      <c r="J32" s="94"/>
      <c r="K32" s="94"/>
      <c r="L32" s="94"/>
      <c r="M32" s="94"/>
      <c r="N32" s="94"/>
      <c r="O32" s="94"/>
      <c r="P32" s="94"/>
    </row>
    <row r="33" spans="1:16">
      <c r="A33" s="94"/>
      <c r="B33" s="94"/>
      <c r="C33" s="94"/>
      <c r="D33" s="94"/>
      <c r="E33" s="94"/>
      <c r="F33" s="94"/>
      <c r="G33" s="94"/>
      <c r="H33" s="94"/>
      <c r="I33" s="94"/>
      <c r="J33" s="94"/>
      <c r="K33" s="94"/>
      <c r="L33" s="94"/>
      <c r="M33" s="94"/>
      <c r="N33" s="94"/>
      <c r="O33" s="94"/>
      <c r="P33" s="94"/>
    </row>
    <row r="34" spans="1:16">
      <c r="A34" s="94"/>
      <c r="B34" s="94"/>
      <c r="C34" s="94"/>
      <c r="D34" s="94"/>
      <c r="E34" s="94"/>
      <c r="F34" s="94"/>
      <c r="G34" s="94"/>
      <c r="H34" s="94"/>
      <c r="I34" s="94"/>
      <c r="J34" s="94"/>
      <c r="K34" s="94"/>
      <c r="L34" s="94"/>
      <c r="M34" s="94"/>
      <c r="N34" s="94"/>
      <c r="O34" s="94"/>
      <c r="P34" s="94"/>
    </row>
    <row r="35" spans="1:16">
      <c r="A35" s="94"/>
      <c r="B35" s="94"/>
      <c r="C35" s="94"/>
      <c r="D35" s="94"/>
      <c r="E35" s="94"/>
      <c r="F35" s="94"/>
      <c r="G35" s="94"/>
      <c r="H35" s="94"/>
      <c r="I35" s="94"/>
      <c r="J35" s="94"/>
      <c r="K35" s="94"/>
      <c r="L35" s="94"/>
      <c r="M35" s="94"/>
      <c r="N35" s="94"/>
      <c r="O35" s="94"/>
      <c r="P35" s="94"/>
    </row>
    <row r="36" spans="1:16">
      <c r="A36" s="94"/>
      <c r="B36" s="94"/>
      <c r="C36" s="94"/>
      <c r="D36" s="94"/>
      <c r="E36" s="94"/>
      <c r="F36" s="94"/>
      <c r="G36" s="94"/>
      <c r="H36" s="94"/>
      <c r="I36" s="94"/>
      <c r="J36" s="94"/>
      <c r="K36" s="94"/>
      <c r="L36" s="94"/>
      <c r="M36" s="94"/>
      <c r="N36" s="94"/>
      <c r="O36" s="94"/>
      <c r="P36" s="94"/>
    </row>
    <row r="37" spans="1:16">
      <c r="A37" s="94"/>
      <c r="B37" s="94"/>
      <c r="C37" s="94"/>
      <c r="D37" s="94"/>
      <c r="E37" s="94"/>
      <c r="F37" s="94"/>
      <c r="G37" s="94"/>
      <c r="H37" s="94"/>
      <c r="I37" s="94"/>
      <c r="J37" s="94"/>
      <c r="K37" s="94"/>
      <c r="L37" s="94"/>
      <c r="M37" s="94"/>
      <c r="N37" s="94"/>
      <c r="O37" s="94"/>
      <c r="P37" s="94"/>
    </row>
    <row r="38" spans="1:16">
      <c r="A38" s="94"/>
      <c r="B38" s="94"/>
      <c r="C38" s="94"/>
      <c r="D38" s="94"/>
      <c r="E38" s="94"/>
      <c r="F38" s="94"/>
      <c r="G38" s="94"/>
      <c r="H38" s="94"/>
      <c r="I38" s="94"/>
      <c r="J38" s="94"/>
      <c r="K38" s="94"/>
      <c r="L38" s="94"/>
      <c r="M38" s="94"/>
      <c r="N38" s="94"/>
      <c r="O38" s="94"/>
      <c r="P38" s="94"/>
    </row>
    <row r="39" spans="1:16">
      <c r="A39" s="94"/>
      <c r="B39" s="94"/>
      <c r="C39" s="94"/>
      <c r="D39" s="94"/>
      <c r="E39" s="94"/>
      <c r="F39" s="94"/>
      <c r="G39" s="94"/>
      <c r="H39" s="94"/>
      <c r="I39" s="94"/>
      <c r="J39" s="94"/>
      <c r="K39" s="94"/>
      <c r="L39" s="94"/>
      <c r="M39" s="94"/>
      <c r="N39" s="94"/>
      <c r="O39" s="94"/>
      <c r="P39" s="94"/>
    </row>
    <row r="40" spans="1:16">
      <c r="A40" s="94"/>
      <c r="B40" s="94"/>
      <c r="C40" s="94"/>
      <c r="D40" s="94"/>
      <c r="E40" s="94"/>
      <c r="F40" s="94"/>
      <c r="G40" s="94"/>
      <c r="H40" s="94"/>
      <c r="I40" s="94"/>
      <c r="J40" s="94"/>
      <c r="K40" s="94"/>
      <c r="L40" s="94"/>
      <c r="M40" s="94"/>
      <c r="N40" s="94"/>
      <c r="O40" s="94"/>
      <c r="P40" s="94"/>
    </row>
    <row r="41" spans="1:16">
      <c r="A41" s="94"/>
      <c r="B41" s="94"/>
      <c r="C41" s="94"/>
      <c r="D41" s="94"/>
      <c r="E41" s="94"/>
      <c r="F41" s="94"/>
      <c r="G41" s="94"/>
      <c r="H41" s="94"/>
      <c r="I41" s="94"/>
      <c r="J41" s="94"/>
      <c r="K41" s="94"/>
      <c r="L41" s="94"/>
      <c r="M41" s="94"/>
      <c r="N41" s="94"/>
      <c r="O41" s="94"/>
      <c r="P41" s="94"/>
    </row>
    <row r="42" spans="1:16">
      <c r="A42" s="94"/>
      <c r="B42" s="94"/>
      <c r="C42" s="94"/>
      <c r="D42" s="94"/>
      <c r="E42" s="94"/>
      <c r="F42" s="94"/>
      <c r="G42" s="94"/>
      <c r="H42" s="94"/>
      <c r="I42" s="94"/>
      <c r="J42" s="94"/>
      <c r="K42" s="94"/>
      <c r="L42" s="94"/>
      <c r="M42" s="94"/>
      <c r="N42" s="94"/>
      <c r="O42" s="94"/>
      <c r="P42" s="94"/>
    </row>
    <row r="43" spans="1:16">
      <c r="A43" s="94"/>
      <c r="B43" s="94"/>
      <c r="C43" s="94"/>
      <c r="D43" s="94"/>
      <c r="E43" s="94"/>
      <c r="F43" s="94"/>
      <c r="G43" s="94"/>
      <c r="H43" s="94"/>
      <c r="I43" s="94"/>
      <c r="J43" s="94"/>
      <c r="K43" s="94"/>
      <c r="L43" s="94"/>
      <c r="M43" s="94"/>
      <c r="N43" s="94"/>
      <c r="O43" s="94"/>
      <c r="P43" s="94"/>
    </row>
    <row r="44" spans="1:16">
      <c r="A44" s="94"/>
      <c r="B44" s="94"/>
      <c r="C44" s="94"/>
      <c r="D44" s="94"/>
      <c r="E44" s="94"/>
      <c r="F44" s="94"/>
      <c r="G44" s="94"/>
      <c r="H44" s="94"/>
      <c r="I44" s="94"/>
      <c r="J44" s="94"/>
      <c r="K44" s="94"/>
      <c r="L44" s="94"/>
      <c r="M44" s="94"/>
      <c r="N44" s="94"/>
      <c r="O44" s="94"/>
      <c r="P44" s="94"/>
    </row>
    <row r="45" spans="1:16">
      <c r="A45" s="94"/>
      <c r="B45" s="94"/>
      <c r="C45" s="94"/>
      <c r="D45" s="94"/>
      <c r="E45" s="94"/>
      <c r="F45" s="94"/>
      <c r="G45" s="94"/>
      <c r="H45" s="94"/>
      <c r="I45" s="94"/>
      <c r="J45" s="94"/>
      <c r="K45" s="94"/>
      <c r="L45" s="94"/>
      <c r="M45" s="94"/>
      <c r="N45" s="94"/>
      <c r="O45" s="94"/>
      <c r="P45" s="94"/>
    </row>
    <row r="46" spans="1:16">
      <c r="A46" s="94"/>
      <c r="B46" s="94"/>
      <c r="C46" s="94"/>
      <c r="D46" s="94"/>
      <c r="E46" s="94"/>
      <c r="F46" s="94"/>
      <c r="G46" s="94"/>
      <c r="H46" s="94"/>
      <c r="I46" s="94"/>
      <c r="J46" s="94"/>
      <c r="K46" s="94"/>
      <c r="L46" s="94"/>
      <c r="M46" s="94"/>
      <c r="N46" s="94"/>
      <c r="O46" s="94"/>
      <c r="P46" s="94"/>
    </row>
    <row r="47" spans="1:16">
      <c r="A47" s="94"/>
      <c r="B47" s="94"/>
      <c r="C47" s="94"/>
      <c r="D47" s="94"/>
      <c r="E47" s="94"/>
      <c r="F47" s="94"/>
      <c r="G47" s="94"/>
      <c r="H47" s="94"/>
      <c r="I47" s="94"/>
      <c r="J47" s="94"/>
      <c r="K47" s="94"/>
      <c r="L47" s="94"/>
      <c r="M47" s="94"/>
      <c r="N47" s="94"/>
      <c r="O47" s="94"/>
      <c r="P47" s="94"/>
    </row>
    <row r="48" spans="1:16">
      <c r="A48" s="94"/>
      <c r="B48" s="94"/>
      <c r="C48" s="94"/>
      <c r="D48" s="94"/>
      <c r="E48" s="94"/>
      <c r="F48" s="94"/>
      <c r="G48" s="94"/>
      <c r="H48" s="94"/>
      <c r="I48" s="94"/>
      <c r="J48" s="94"/>
      <c r="K48" s="94"/>
      <c r="L48" s="94"/>
      <c r="M48" s="94"/>
      <c r="N48" s="94"/>
      <c r="O48" s="94"/>
      <c r="P48" s="94"/>
    </row>
    <row r="49" spans="1:16">
      <c r="A49" s="94"/>
      <c r="B49" s="94"/>
      <c r="C49" s="94"/>
      <c r="D49" s="94"/>
      <c r="E49" s="94"/>
      <c r="F49" s="94"/>
      <c r="G49" s="94"/>
      <c r="H49" s="94"/>
      <c r="I49" s="94"/>
      <c r="J49" s="94"/>
      <c r="K49" s="94"/>
      <c r="L49" s="94"/>
      <c r="M49" s="94"/>
      <c r="N49" s="94"/>
      <c r="O49" s="94"/>
      <c r="P49" s="94"/>
    </row>
    <row r="50" spans="1:16">
      <c r="A50" s="94"/>
      <c r="B50" s="94"/>
      <c r="C50" s="94"/>
      <c r="D50" s="94"/>
      <c r="E50" s="94"/>
      <c r="F50" s="94"/>
      <c r="G50" s="94"/>
      <c r="H50" s="94"/>
      <c r="I50" s="94"/>
      <c r="J50" s="94"/>
      <c r="K50" s="94"/>
      <c r="L50" s="94"/>
      <c r="M50" s="94"/>
      <c r="N50" s="94"/>
      <c r="O50" s="94"/>
      <c r="P50" s="94"/>
    </row>
    <row r="51" spans="1:16">
      <c r="A51" s="94"/>
      <c r="B51" s="94"/>
      <c r="C51" s="94"/>
      <c r="D51" s="94"/>
      <c r="E51" s="94"/>
      <c r="F51" s="94"/>
      <c r="G51" s="94"/>
      <c r="H51" s="94"/>
      <c r="I51" s="94"/>
      <c r="J51" s="94"/>
      <c r="K51" s="94"/>
      <c r="L51" s="94"/>
      <c r="M51" s="94"/>
      <c r="N51" s="94"/>
      <c r="O51" s="94"/>
      <c r="P51" s="94"/>
    </row>
    <row r="52" spans="1:16">
      <c r="A52" s="94"/>
      <c r="B52" s="94"/>
      <c r="C52" s="94"/>
      <c r="D52" s="94"/>
      <c r="E52" s="94"/>
      <c r="F52" s="94"/>
      <c r="G52" s="94"/>
      <c r="H52" s="94"/>
      <c r="I52" s="94"/>
      <c r="J52" s="94"/>
      <c r="K52" s="94"/>
      <c r="L52" s="94"/>
      <c r="M52" s="94"/>
      <c r="N52" s="94"/>
      <c r="O52" s="94"/>
      <c r="P52" s="94"/>
    </row>
    <row r="53" spans="1:16">
      <c r="A53" s="94"/>
      <c r="B53" s="94"/>
      <c r="C53" s="94"/>
      <c r="D53" s="94"/>
      <c r="E53" s="94"/>
      <c r="F53" s="94"/>
      <c r="G53" s="94"/>
      <c r="H53" s="94"/>
      <c r="I53" s="94"/>
      <c r="J53" s="94"/>
      <c r="K53" s="94"/>
      <c r="L53" s="94"/>
      <c r="M53" s="94"/>
      <c r="N53" s="94"/>
      <c r="O53" s="94"/>
      <c r="P53" s="94"/>
    </row>
    <row r="54" spans="1:16">
      <c r="A54" s="94"/>
      <c r="B54" s="94"/>
      <c r="C54" s="94"/>
      <c r="D54" s="94"/>
      <c r="E54" s="94"/>
      <c r="F54" s="94"/>
      <c r="G54" s="94"/>
      <c r="H54" s="94"/>
      <c r="I54" s="94"/>
      <c r="J54" s="94"/>
      <c r="K54" s="94"/>
      <c r="L54" s="94"/>
      <c r="M54" s="94"/>
      <c r="N54" s="94"/>
      <c r="O54" s="94"/>
      <c r="P54" s="94"/>
    </row>
    <row r="55" spans="1:16">
      <c r="A55" s="94"/>
      <c r="B55" s="94"/>
      <c r="C55" s="94"/>
      <c r="D55" s="94"/>
      <c r="E55" s="94"/>
      <c r="F55" s="94"/>
      <c r="G55" s="94"/>
      <c r="H55" s="94"/>
      <c r="I55" s="94"/>
      <c r="J55" s="94"/>
      <c r="K55" s="94"/>
      <c r="L55" s="94"/>
      <c r="M55" s="94"/>
      <c r="N55" s="94"/>
      <c r="O55" s="94"/>
      <c r="P55" s="94"/>
    </row>
    <row r="56" spans="1:16">
      <c r="A56" s="94"/>
      <c r="B56" s="94"/>
      <c r="C56" s="94"/>
      <c r="D56" s="94"/>
      <c r="E56" s="94"/>
      <c r="F56" s="94"/>
      <c r="G56" s="94"/>
      <c r="H56" s="94"/>
      <c r="I56" s="94"/>
      <c r="J56" s="94"/>
      <c r="K56" s="94"/>
      <c r="L56" s="94"/>
      <c r="M56" s="94"/>
      <c r="N56" s="94"/>
      <c r="O56" s="94"/>
      <c r="P56" s="94"/>
    </row>
  </sheetData>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CZ223"/>
  <sheetViews>
    <sheetView tabSelected="1" topLeftCell="A2" zoomScaleNormal="100" workbookViewId="0">
      <selection activeCell="H16" sqref="H16:K16"/>
    </sheetView>
  </sheetViews>
  <sheetFormatPr defaultColWidth="9" defaultRowHeight="14.25"/>
  <cols>
    <col min="1" max="52" width="2.75" style="35" customWidth="1"/>
    <col min="53" max="78" width="2.625" style="35" customWidth="1"/>
    <col min="79" max="104" width="12.75" style="29" customWidth="1"/>
    <col min="105" max="156" width="12.75" style="35" customWidth="1"/>
    <col min="157" max="16384" width="9" style="35"/>
  </cols>
  <sheetData>
    <row r="1" spans="1:104" s="27" customFormat="1" ht="24.75" customHeight="1">
      <c r="A1" s="115" t="s">
        <v>41</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70</v>
      </c>
      <c r="CB1" s="29"/>
      <c r="CC1" s="29"/>
      <c r="CD1" s="29"/>
      <c r="CE1" s="29"/>
      <c r="CF1" s="29" t="str">
        <f>data!$D$7</f>
        <v>International</v>
      </c>
      <c r="CG1" s="29"/>
      <c r="CH1" s="29"/>
      <c r="CI1" s="29"/>
      <c r="CJ1" s="29"/>
      <c r="CK1" s="29"/>
      <c r="CL1" s="30"/>
      <c r="CM1" s="29"/>
      <c r="CN1" s="29"/>
      <c r="CO1" s="29"/>
      <c r="CP1" s="29"/>
      <c r="CQ1" s="29"/>
      <c r="CR1" s="29"/>
      <c r="CS1" s="29"/>
      <c r="CT1" s="29"/>
      <c r="CU1" s="29"/>
      <c r="CV1" s="29"/>
      <c r="CW1" s="29"/>
      <c r="CX1" s="29"/>
      <c r="CY1" s="29"/>
      <c r="CZ1" s="29"/>
    </row>
    <row r="2" spans="1:104" s="27" customFormat="1" ht="24.75" customHeight="1">
      <c r="A2" s="116" t="s">
        <v>128</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c r="CT2" s="29"/>
      <c r="CU2" s="29"/>
      <c r="CV2" s="29"/>
      <c r="CW2" s="29"/>
      <c r="CX2" s="29"/>
      <c r="CY2" s="29"/>
      <c r="CZ2" s="29"/>
    </row>
    <row r="3" spans="1:104"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32"/>
      <c r="BC3" s="33"/>
      <c r="BD3" s="33"/>
      <c r="BE3" s="34" t="s">
        <v>127</v>
      </c>
      <c r="BI3" s="35"/>
      <c r="BJ3" s="35"/>
      <c r="BK3" s="35"/>
      <c r="BL3" s="35"/>
      <c r="BM3" s="35"/>
      <c r="BN3" s="35"/>
      <c r="BO3" s="35"/>
      <c r="BP3" s="35"/>
      <c r="BQ3" s="36"/>
      <c r="BR3" s="35"/>
      <c r="BS3" s="35"/>
      <c r="CA3" s="28"/>
      <c r="CB3" s="37" t="s">
        <v>133</v>
      </c>
      <c r="CC3" s="38">
        <f>'Variable Capacity unit'!$H$9</f>
        <v>3030.3844811099998</v>
      </c>
      <c r="CD3" s="39"/>
      <c r="CE3" s="40" t="s">
        <v>0</v>
      </c>
      <c r="CF3" s="41">
        <f>$CK$49/$CZ$49</f>
        <v>6.6075200408011323</v>
      </c>
      <c r="CG3" s="29"/>
      <c r="CH3" s="29"/>
      <c r="CI3" s="29"/>
      <c r="CJ3" s="42"/>
      <c r="CK3" s="29"/>
      <c r="CL3" s="43"/>
      <c r="CM3" s="29"/>
      <c r="CN3" s="29"/>
      <c r="CO3" s="29"/>
      <c r="CP3" s="29"/>
      <c r="CQ3" s="29"/>
      <c r="CR3" s="29"/>
      <c r="CS3" s="29"/>
      <c r="CT3" s="29"/>
      <c r="CU3" s="29"/>
      <c r="CV3" s="29"/>
      <c r="CW3" s="29"/>
      <c r="CX3" s="29"/>
      <c r="CY3" s="29"/>
      <c r="CZ3" s="29"/>
    </row>
    <row r="4" spans="1:104"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32"/>
      <c r="BC4" s="33"/>
      <c r="BD4" s="33"/>
      <c r="BE4" s="34" t="s">
        <v>127</v>
      </c>
      <c r="BI4" s="35"/>
      <c r="BJ4" s="35"/>
      <c r="BK4" s="35"/>
      <c r="BL4" s="35"/>
      <c r="BM4" s="35"/>
      <c r="BN4" s="35"/>
      <c r="BO4" s="35"/>
      <c r="BP4" s="35"/>
      <c r="BQ4" s="35"/>
      <c r="BR4" s="35"/>
      <c r="BS4" s="35"/>
      <c r="CA4" s="28"/>
      <c r="CB4" s="29"/>
      <c r="CC4" s="29"/>
      <c r="CD4" s="29"/>
      <c r="CE4" s="29"/>
      <c r="CF4" s="29"/>
      <c r="CG4" s="29"/>
      <c r="CH4" s="29"/>
      <c r="CI4" s="29"/>
      <c r="CJ4" s="29"/>
      <c r="CK4" s="29"/>
      <c r="CL4" s="43"/>
      <c r="CM4" s="29"/>
      <c r="CN4" s="29"/>
      <c r="CO4" s="29"/>
      <c r="CP4" s="29"/>
      <c r="CQ4" s="29"/>
      <c r="CR4" s="29"/>
      <c r="CS4" s="29"/>
      <c r="CT4" s="29"/>
      <c r="CU4" s="29"/>
      <c r="CV4" s="29"/>
      <c r="CW4" s="29"/>
      <c r="CX4" s="29"/>
      <c r="CY4" s="29"/>
      <c r="CZ4" s="29"/>
    </row>
    <row r="5" spans="1:104"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32"/>
      <c r="BC5" s="33"/>
      <c r="BD5" s="33"/>
      <c r="BE5" s="34" t="s">
        <v>127</v>
      </c>
      <c r="BI5" s="35"/>
      <c r="BJ5" s="35"/>
      <c r="BK5" s="35"/>
      <c r="BL5" s="35"/>
      <c r="BM5" s="35"/>
      <c r="BN5" s="35"/>
      <c r="CA5" s="28"/>
      <c r="CB5" s="29"/>
      <c r="CC5" s="44" t="s">
        <v>134</v>
      </c>
      <c r="CD5" s="44" t="s">
        <v>135</v>
      </c>
      <c r="CE5" s="44" t="s">
        <v>136</v>
      </c>
      <c r="CF5" s="29"/>
      <c r="CG5" s="44" t="s">
        <v>19</v>
      </c>
      <c r="CH5" s="44">
        <f>data!$D$14</f>
        <v>0.25</v>
      </c>
      <c r="CI5" s="29"/>
      <c r="CJ5" s="44" t="s">
        <v>137</v>
      </c>
      <c r="CK5" s="45">
        <f>(6*$CC$3*$CH$8+6*$CC$6*($CH$9-$CH$8)+35*($CC$11-$CC$6)*($CH$9-$CH$8))/(6*$CC$3+($CC$11-$CC$6)*($CH$9-$CH$8))</f>
        <v>35</v>
      </c>
      <c r="CL5" s="46"/>
      <c r="CM5" s="44" t="s">
        <v>138</v>
      </c>
      <c r="CN5" s="45">
        <f>($CE$6+($CE$11-$CE$6)/(35-29)*(35-$CH$8))/($CE$7+($CE$12-$CE$7)/(35-29)*(35-$CH$8))</f>
        <v>51.058741021447005</v>
      </c>
      <c r="CO5" s="29"/>
      <c r="CP5" s="29"/>
      <c r="CQ5" s="29"/>
      <c r="CR5" s="29"/>
      <c r="CS5" s="29"/>
      <c r="CT5" s="29"/>
      <c r="CU5" s="29"/>
      <c r="CV5" s="29"/>
      <c r="CW5" s="29"/>
      <c r="CX5" s="29"/>
      <c r="CY5" s="29"/>
      <c r="CZ5" s="29"/>
    </row>
    <row r="6" spans="1:104" s="34" customFormat="1" ht="12" customHeight="1">
      <c r="A6" s="31"/>
      <c r="B6" s="31"/>
      <c r="C6" s="47" t="s">
        <v>116</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
        <v>91</v>
      </c>
      <c r="AJ6" s="31"/>
      <c r="AK6" s="31"/>
      <c r="AL6" s="31"/>
      <c r="AM6" s="31"/>
      <c r="AN6" s="31"/>
      <c r="AO6" s="31"/>
      <c r="AP6" s="31"/>
      <c r="AQ6" s="31"/>
      <c r="AR6" s="31"/>
      <c r="AS6" s="31"/>
      <c r="AT6" s="31"/>
      <c r="AU6" s="31"/>
      <c r="AV6" s="31"/>
      <c r="AW6" s="31"/>
      <c r="AX6" s="31"/>
      <c r="AY6" s="31"/>
      <c r="AZ6" s="31"/>
      <c r="BA6" s="32"/>
      <c r="BB6" s="32"/>
      <c r="BC6" s="33"/>
      <c r="BD6" s="33"/>
      <c r="BE6" s="34" t="s">
        <v>127</v>
      </c>
      <c r="BI6" s="49"/>
      <c r="BJ6" s="50"/>
      <c r="BK6" s="50"/>
      <c r="BL6" s="50"/>
      <c r="BM6" s="50"/>
      <c r="BN6" s="50"/>
      <c r="BO6" s="50"/>
      <c r="BP6" s="50"/>
      <c r="CA6" s="28"/>
      <c r="CB6" s="51" t="s">
        <v>82</v>
      </c>
      <c r="CC6" s="52">
        <f>'Variable Capacity unit'!$H$9</f>
        <v>3030.3844811099998</v>
      </c>
      <c r="CD6" s="52">
        <f>'Variable Capacity unit'!$H$10</f>
        <v>1602.1903965899996</v>
      </c>
      <c r="CE6" s="52">
        <f>IF('Variable Capacity unit'!$BD$7="Required test",$CD$6,IF('Variable Capacity unit'!$BD$11="Not Measure",$CD$6,IF('Variable Capacity unit'!$BD$15="Default",$CE$11/$CH$6,'Variable Capacity unit'!$H$11)))</f>
        <v>1602.1903965899996</v>
      </c>
      <c r="CF6" s="29"/>
      <c r="CG6" s="53" t="s">
        <v>139</v>
      </c>
      <c r="CH6" s="40">
        <f>data!$D$15</f>
        <v>1.077</v>
      </c>
      <c r="CI6" s="29"/>
      <c r="CJ6" s="44" t="s">
        <v>140</v>
      </c>
      <c r="CK6" s="45">
        <f>(6*$CC$3*$CH$8+6*$CD$6*($CH$9-$CH$8)+35*($CD$11-$CD$6)*($CH$9-$CH$8))/(6*$CC$3+($CD$11-$CD$6)*($CH$9-$CH$8))</f>
        <v>26.133564198511706</v>
      </c>
      <c r="CL6" s="43"/>
      <c r="CM6" s="44" t="s">
        <v>141</v>
      </c>
      <c r="CN6" s="45">
        <f>($CC$6+($CC$11-$CC$6)/(35-29)*(35-$CK$5))/($CC$7+($CC$12-$CC$7)/(35-29)*(35-$CK$5))</f>
        <v>3.2128758281488548</v>
      </c>
      <c r="CO6" s="29"/>
      <c r="CP6" s="29"/>
      <c r="CQ6" s="29"/>
      <c r="CR6" s="29"/>
      <c r="CS6" s="29"/>
      <c r="CT6" s="29"/>
      <c r="CU6" s="29"/>
      <c r="CV6" s="29"/>
      <c r="CW6" s="29"/>
      <c r="CX6" s="29"/>
      <c r="CY6" s="29"/>
      <c r="CZ6" s="29"/>
    </row>
    <row r="7" spans="1:104" s="34" customFormat="1" ht="12" customHeight="1">
      <c r="A7" s="31"/>
      <c r="B7" s="31"/>
      <c r="C7" s="31"/>
      <c r="D7" s="31" t="s">
        <v>89</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
        <v>81</v>
      </c>
      <c r="AL7" s="108"/>
      <c r="AM7" s="108"/>
      <c r="AN7" s="108"/>
      <c r="AO7" s="108"/>
      <c r="AP7" s="108"/>
      <c r="AQ7" s="54"/>
      <c r="AR7" s="55" t="s">
        <v>117</v>
      </c>
      <c r="AS7" s="55"/>
      <c r="AT7" s="55"/>
      <c r="AU7" s="55"/>
      <c r="AV7" s="56"/>
      <c r="AW7" s="57"/>
      <c r="AX7" s="58" t="s">
        <v>118</v>
      </c>
      <c r="AY7" s="58"/>
      <c r="AZ7" s="58"/>
      <c r="BA7" s="58"/>
      <c r="BB7" s="59"/>
      <c r="BC7" s="81">
        <v>2</v>
      </c>
      <c r="BD7" s="33" t="str">
        <f>IF($BC$7=2,"Optional test","Required test")</f>
        <v>Optional test</v>
      </c>
      <c r="BE7" s="60" t="s">
        <v>127</v>
      </c>
      <c r="BH7" s="60"/>
      <c r="BI7" s="50"/>
      <c r="BJ7" s="50"/>
      <c r="CA7" s="28"/>
      <c r="CB7" s="51" t="s">
        <v>83</v>
      </c>
      <c r="CC7" s="52">
        <f>'Variable Capacity unit'!$L$9</f>
        <v>943.2</v>
      </c>
      <c r="CD7" s="52">
        <f>'Variable Capacity unit'!$L$10</f>
        <v>383.6</v>
      </c>
      <c r="CE7" s="52">
        <f>IF('Variable Capacity unit'!$BD$7="Required test",$CD$7,IF('Variable Capacity unit'!$BD$11="Not Measure",$CD$7,IF('Variable Capacity unit'!$BD$15="Default",$CE$12/$CH$7,'Variable Capacity unit'!$L$11)))</f>
        <v>383.6</v>
      </c>
      <c r="CF7" s="29"/>
      <c r="CG7" s="53" t="s">
        <v>142</v>
      </c>
      <c r="CH7" s="40">
        <f>data!$D$16</f>
        <v>0.91400000000000003</v>
      </c>
      <c r="CI7" s="29"/>
      <c r="CJ7" s="44" t="s">
        <v>143</v>
      </c>
      <c r="CK7" s="45">
        <f>(6*$CC$3*$CH$8+6*$CE$6*($CH$9-$CH$8)+35*($CE$11-$CE$6)*($CH$9-$CH$8))/(6*$CC$3+($CE$11-$CE$6)*($CH$9-$CH$8))</f>
        <v>26.133564198511706</v>
      </c>
      <c r="CL7" s="43"/>
      <c r="CM7" s="44" t="s">
        <v>144</v>
      </c>
      <c r="CN7" s="45">
        <f>($CD$6+($CD$11-$CD$6)/(35-29)*(35-$CK$6))/($CD$7+($CD$12-$CD$7)/(35-29)*(35-$CK$6))</f>
        <v>7.3629583941963954</v>
      </c>
      <c r="CO7" s="29"/>
      <c r="CP7" s="29"/>
      <c r="CQ7" s="29"/>
      <c r="CR7" s="29"/>
      <c r="CS7" s="29"/>
      <c r="CT7" s="29"/>
      <c r="CU7" s="29"/>
      <c r="CV7" s="29"/>
      <c r="CW7" s="29"/>
      <c r="CX7" s="29"/>
      <c r="CY7" s="29"/>
      <c r="CZ7" s="29"/>
    </row>
    <row r="8" spans="1:104" s="34" customFormat="1" ht="12" customHeight="1">
      <c r="A8" s="31"/>
      <c r="B8" s="31"/>
      <c r="C8" s="31"/>
      <c r="D8" s="31"/>
      <c r="E8" s="31"/>
      <c r="F8" s="31"/>
      <c r="G8" s="31"/>
      <c r="H8" s="132" t="s">
        <v>87</v>
      </c>
      <c r="I8" s="132"/>
      <c r="J8" s="132"/>
      <c r="K8" s="132"/>
      <c r="L8" s="132" t="s">
        <v>88</v>
      </c>
      <c r="M8" s="132"/>
      <c r="N8" s="132"/>
      <c r="O8" s="132"/>
      <c r="P8" s="103" t="s">
        <v>62</v>
      </c>
      <c r="Q8" s="104"/>
      <c r="R8" s="31"/>
      <c r="S8" s="31"/>
      <c r="T8" s="31"/>
      <c r="U8" s="31"/>
      <c r="V8" s="31"/>
      <c r="W8" s="31"/>
      <c r="X8" s="31"/>
      <c r="Y8" s="31"/>
      <c r="Z8" s="31"/>
      <c r="AA8" s="31"/>
      <c r="AB8" s="31"/>
      <c r="AC8" s="31"/>
      <c r="AD8" s="31"/>
      <c r="AE8" s="31"/>
      <c r="AF8" s="31"/>
      <c r="AG8" s="31"/>
      <c r="AH8" s="31"/>
      <c r="AI8" s="31" t="s">
        <v>48</v>
      </c>
      <c r="AJ8" s="31"/>
      <c r="AK8" s="31"/>
      <c r="AL8" s="31"/>
      <c r="AM8" s="31"/>
      <c r="AN8" s="31"/>
      <c r="AO8" s="31"/>
      <c r="AP8" s="31"/>
      <c r="AQ8" s="31"/>
      <c r="AR8" s="31"/>
      <c r="AS8" s="31"/>
      <c r="AT8" s="31"/>
      <c r="AU8" s="31"/>
      <c r="AV8" s="31"/>
      <c r="AW8" s="31"/>
      <c r="AX8" s="31"/>
      <c r="AY8" s="31"/>
      <c r="AZ8" s="31"/>
      <c r="BA8" s="32"/>
      <c r="BB8" s="32"/>
      <c r="BC8" s="33"/>
      <c r="BD8" s="33"/>
      <c r="BE8" s="60" t="s">
        <v>127</v>
      </c>
      <c r="BH8" s="60"/>
      <c r="BI8" s="50"/>
      <c r="BJ8" s="50"/>
      <c r="BK8" s="50"/>
      <c r="BL8" s="50"/>
      <c r="BM8" s="50"/>
      <c r="BN8" s="50"/>
      <c r="BO8" s="50"/>
      <c r="BP8" s="50"/>
      <c r="CA8" s="28"/>
      <c r="CB8" s="44" t="s">
        <v>145</v>
      </c>
      <c r="CC8" s="61">
        <f>$CC$6/$CC$7</f>
        <v>3.2128758281488548</v>
      </c>
      <c r="CD8" s="61">
        <f>$CD$6/$CD$7</f>
        <v>4.1767215760948897</v>
      </c>
      <c r="CE8" s="61">
        <f>$CE$6/$CE$7</f>
        <v>4.1767215760948897</v>
      </c>
      <c r="CF8" s="29"/>
      <c r="CG8" s="44" t="s">
        <v>146</v>
      </c>
      <c r="CH8" s="44">
        <f>data!$D$11</f>
        <v>20</v>
      </c>
      <c r="CI8" s="29"/>
      <c r="CJ8" s="29"/>
      <c r="CK8" s="29"/>
      <c r="CL8" s="43"/>
      <c r="CM8" s="44" t="s">
        <v>147</v>
      </c>
      <c r="CN8" s="45">
        <f>($CE$6+($CE$11-$CE$6)/(35-29)*(35-$CK$7))/($CE$7+($CE$12-$CE$7)/(35-29)*(35-$CK$7))</f>
        <v>7.3629583941963954</v>
      </c>
      <c r="CO8" s="62"/>
      <c r="CP8" s="29"/>
      <c r="CQ8" s="29"/>
      <c r="CR8" s="29"/>
      <c r="CS8" s="29"/>
      <c r="CT8" s="29"/>
      <c r="CU8" s="29"/>
      <c r="CV8" s="29"/>
      <c r="CW8" s="29"/>
      <c r="CX8" s="29"/>
      <c r="CY8" s="29"/>
      <c r="CZ8" s="29"/>
    </row>
    <row r="9" spans="1:104" s="34" customFormat="1" ht="12" customHeight="1">
      <c r="A9" s="31"/>
      <c r="B9" s="31"/>
      <c r="C9" s="31"/>
      <c r="D9" s="123" t="s">
        <v>4</v>
      </c>
      <c r="E9" s="124"/>
      <c r="F9" s="124"/>
      <c r="G9" s="125"/>
      <c r="H9" s="134">
        <v>3030.3844811099998</v>
      </c>
      <c r="I9" s="134"/>
      <c r="J9" s="134"/>
      <c r="K9" s="134"/>
      <c r="L9" s="134">
        <v>943.2</v>
      </c>
      <c r="M9" s="134"/>
      <c r="N9" s="134"/>
      <c r="O9" s="134"/>
      <c r="P9" s="135">
        <f>$H$9/$L$9</f>
        <v>3.2128758281488548</v>
      </c>
      <c r="Q9" s="136"/>
      <c r="R9" s="31"/>
      <c r="S9" s="31"/>
      <c r="T9" s="31"/>
      <c r="U9" s="31"/>
      <c r="V9" s="31"/>
      <c r="W9" s="31"/>
      <c r="X9" s="31"/>
      <c r="Y9" s="31"/>
      <c r="Z9" s="31"/>
      <c r="AA9" s="31"/>
      <c r="AB9" s="31"/>
      <c r="AC9" s="31"/>
      <c r="AD9" s="31"/>
      <c r="AE9" s="31"/>
      <c r="AF9" s="31"/>
      <c r="AG9" s="31"/>
      <c r="AH9" s="31"/>
      <c r="AI9" s="31"/>
      <c r="AJ9" s="31"/>
      <c r="AK9" s="108" t="s">
        <v>50</v>
      </c>
      <c r="AL9" s="108"/>
      <c r="AM9" s="108"/>
      <c r="AN9" s="108"/>
      <c r="AO9" s="108"/>
      <c r="AP9" s="108"/>
      <c r="AQ9" s="105" t="s">
        <v>101</v>
      </c>
      <c r="AR9" s="105"/>
      <c r="AS9" s="105"/>
      <c r="AT9" s="105"/>
      <c r="AU9" s="105"/>
      <c r="AV9" s="105"/>
      <c r="AW9" s="105"/>
      <c r="AX9" s="105"/>
      <c r="AY9" s="105"/>
      <c r="AZ9" s="105"/>
      <c r="BA9" s="105"/>
      <c r="BB9" s="105"/>
      <c r="BC9" s="33"/>
      <c r="BD9" s="33"/>
      <c r="BE9" s="60" t="s">
        <v>127</v>
      </c>
      <c r="BH9" s="60"/>
      <c r="BI9" s="50"/>
      <c r="BJ9" s="50"/>
      <c r="CA9" s="28"/>
      <c r="CB9" s="44"/>
      <c r="CC9" s="44"/>
      <c r="CD9" s="44"/>
      <c r="CE9" s="63"/>
      <c r="CF9" s="29"/>
      <c r="CG9" s="44" t="s">
        <v>148</v>
      </c>
      <c r="CH9" s="44">
        <f>data!$D$12</f>
        <v>35</v>
      </c>
      <c r="CI9" s="29"/>
      <c r="CJ9" s="29"/>
      <c r="CK9" s="29"/>
      <c r="CL9" s="29"/>
      <c r="CM9" s="29"/>
      <c r="CN9" s="29"/>
      <c r="CO9" s="29"/>
      <c r="CP9" s="29"/>
      <c r="CQ9" s="29"/>
      <c r="CR9" s="29"/>
      <c r="CS9" s="29"/>
      <c r="CT9" s="29"/>
      <c r="CU9" s="29"/>
      <c r="CV9" s="29"/>
      <c r="CW9" s="29"/>
      <c r="CX9" s="29"/>
      <c r="CY9" s="29"/>
      <c r="CZ9" s="29"/>
    </row>
    <row r="10" spans="1:104" s="34" customFormat="1" ht="12" customHeight="1">
      <c r="A10" s="31"/>
      <c r="B10" s="31"/>
      <c r="C10" s="31"/>
      <c r="D10" s="123" t="s">
        <v>85</v>
      </c>
      <c r="E10" s="124"/>
      <c r="F10" s="124"/>
      <c r="G10" s="125"/>
      <c r="H10" s="134">
        <v>1602.1903965899996</v>
      </c>
      <c r="I10" s="134"/>
      <c r="J10" s="134"/>
      <c r="K10" s="134"/>
      <c r="L10" s="134">
        <v>383.6</v>
      </c>
      <c r="M10" s="134"/>
      <c r="N10" s="134"/>
      <c r="O10" s="134"/>
      <c r="P10" s="135">
        <f>$H$10/$L$10</f>
        <v>4.1767215760948897</v>
      </c>
      <c r="Q10" s="136"/>
      <c r="R10" s="31"/>
      <c r="S10" s="31"/>
      <c r="T10" s="31"/>
      <c r="U10" s="31"/>
      <c r="V10" s="31"/>
      <c r="W10" s="31"/>
      <c r="X10" s="31"/>
      <c r="Y10" s="31"/>
      <c r="Z10" s="31"/>
      <c r="AA10" s="31"/>
      <c r="AB10" s="31"/>
      <c r="AC10" s="31"/>
      <c r="AD10" s="31"/>
      <c r="AE10" s="31"/>
      <c r="AF10" s="31"/>
      <c r="AG10" s="31"/>
      <c r="AH10" s="31"/>
      <c r="AI10" s="31"/>
      <c r="AJ10" s="31"/>
      <c r="AK10" s="108" t="s">
        <v>51</v>
      </c>
      <c r="AL10" s="108"/>
      <c r="AM10" s="108"/>
      <c r="AN10" s="108"/>
      <c r="AO10" s="108"/>
      <c r="AP10" s="108"/>
      <c r="AQ10" s="105" t="s">
        <v>101</v>
      </c>
      <c r="AR10" s="105"/>
      <c r="AS10" s="105"/>
      <c r="AT10" s="105"/>
      <c r="AU10" s="105"/>
      <c r="AV10" s="105"/>
      <c r="AW10" s="105"/>
      <c r="AX10" s="105"/>
      <c r="AY10" s="105"/>
      <c r="AZ10" s="105"/>
      <c r="BA10" s="105"/>
      <c r="BB10" s="105"/>
      <c r="BC10" s="33"/>
      <c r="BD10" s="33"/>
      <c r="BE10" s="60" t="s">
        <v>127</v>
      </c>
      <c r="BH10" s="60"/>
      <c r="BI10" s="50"/>
      <c r="BJ10" s="50"/>
      <c r="CA10" s="28"/>
      <c r="CB10" s="44"/>
      <c r="CC10" s="44" t="s">
        <v>149</v>
      </c>
      <c r="CD10" s="44" t="s">
        <v>150</v>
      </c>
      <c r="CE10" s="44" t="s">
        <v>151</v>
      </c>
      <c r="CF10" s="29"/>
      <c r="CG10" s="29"/>
      <c r="CH10" s="29"/>
      <c r="CI10" s="29"/>
      <c r="CJ10" s="29"/>
      <c r="CK10" s="29"/>
      <c r="CL10" s="29"/>
      <c r="CM10" s="44"/>
      <c r="CN10" s="62"/>
      <c r="CO10" s="62"/>
      <c r="CP10" s="29"/>
      <c r="CQ10" s="29"/>
      <c r="CR10" s="29"/>
      <c r="CS10" s="29"/>
      <c r="CT10" s="29"/>
      <c r="CU10" s="29"/>
      <c r="CV10" s="29"/>
      <c r="CW10" s="29"/>
      <c r="CX10" s="29"/>
      <c r="CY10" s="29"/>
      <c r="CZ10" s="29"/>
    </row>
    <row r="11" spans="1:104" s="34" customFormat="1" ht="12" customHeight="1">
      <c r="A11" s="31"/>
      <c r="B11" s="31"/>
      <c r="C11" s="31"/>
      <c r="D11" s="123" t="s">
        <v>86</v>
      </c>
      <c r="E11" s="124"/>
      <c r="F11" s="124"/>
      <c r="G11" s="125"/>
      <c r="H11" s="127">
        <v>1500</v>
      </c>
      <c r="I11" s="127"/>
      <c r="J11" s="127"/>
      <c r="K11" s="127"/>
      <c r="L11" s="127">
        <v>320</v>
      </c>
      <c r="M11" s="127"/>
      <c r="N11" s="127"/>
      <c r="O11" s="127"/>
      <c r="P11" s="135">
        <f>$H$11/$L$11</f>
        <v>4.6875</v>
      </c>
      <c r="Q11" s="136"/>
      <c r="R11" s="31"/>
      <c r="S11" s="31"/>
      <c r="T11" s="31"/>
      <c r="U11" s="31"/>
      <c r="V11" s="31"/>
      <c r="W11" s="31"/>
      <c r="X11" s="31"/>
      <c r="Y11" s="31"/>
      <c r="Z11" s="31"/>
      <c r="AA11" s="31"/>
      <c r="AB11" s="31"/>
      <c r="AC11" s="31"/>
      <c r="AD11" s="31"/>
      <c r="AE11" s="31"/>
      <c r="AF11" s="31"/>
      <c r="AG11" s="31"/>
      <c r="AH11" s="31"/>
      <c r="AI11" s="31"/>
      <c r="AJ11" s="31"/>
      <c r="AK11" s="108" t="s">
        <v>52</v>
      </c>
      <c r="AL11" s="108"/>
      <c r="AM11" s="108"/>
      <c r="AN11" s="108"/>
      <c r="AO11" s="108"/>
      <c r="AP11" s="108"/>
      <c r="AQ11" s="57"/>
      <c r="AR11" s="101" t="s">
        <v>100</v>
      </c>
      <c r="AS11" s="101"/>
      <c r="AT11" s="101"/>
      <c r="AU11" s="101"/>
      <c r="AV11" s="102"/>
      <c r="AW11" s="57"/>
      <c r="AX11" s="101" t="s">
        <v>101</v>
      </c>
      <c r="AY11" s="101"/>
      <c r="AZ11" s="101"/>
      <c r="BA11" s="101"/>
      <c r="BB11" s="102"/>
      <c r="BC11" s="81">
        <v>1</v>
      </c>
      <c r="BD11" s="33" t="str">
        <f>IF($BC$7=2,IF($BC$11=2,"Measure","Not Measure"),"Not Measure")</f>
        <v>Not Measure</v>
      </c>
      <c r="BE11" s="60" t="s">
        <v>127</v>
      </c>
      <c r="BH11" s="60"/>
      <c r="BI11" s="50"/>
      <c r="BJ11" s="50"/>
      <c r="CA11" s="28"/>
      <c r="CB11" s="51" t="s">
        <v>82</v>
      </c>
      <c r="CC11" s="52">
        <f>$CC$6*$CH$6</f>
        <v>3263.7240861554696</v>
      </c>
      <c r="CD11" s="52">
        <f>IF('Variable Capacity unit'!$BD$7="Required test",$CD$6*$CH$6,IF('Variable Capacity unit'!$BD$17="Default",$CD$6*$CH$6,'Variable Capacity unit'!$H$16))</f>
        <v>1356.5088934600001</v>
      </c>
      <c r="CE11" s="52">
        <f>IF('Variable Capacity unit'!$BD$7="Required test",$CD$11,IF('Variable Capacity unit'!$BD$11="Not Measure",$CD$11,IF('Variable Capacity unit'!$BD$18="Default",$CD$11,'Variable Capacity unit'!$H$17)))</f>
        <v>1356.5088934600001</v>
      </c>
      <c r="CF11" s="29"/>
      <c r="CG11" s="29"/>
      <c r="CH11" s="29"/>
      <c r="CI11" s="29"/>
      <c r="CJ11" s="29"/>
      <c r="CK11" s="29"/>
      <c r="CL11" s="29"/>
      <c r="CM11" s="29"/>
      <c r="CN11" s="29"/>
      <c r="CO11" s="29"/>
      <c r="CP11" s="29"/>
      <c r="CQ11" s="29"/>
      <c r="CR11" s="29"/>
      <c r="CS11" s="29"/>
      <c r="CT11" s="29"/>
      <c r="CU11" s="29"/>
      <c r="CV11" s="29"/>
      <c r="CW11" s="29"/>
      <c r="CX11" s="29"/>
      <c r="CY11" s="29"/>
      <c r="CZ11" s="29"/>
    </row>
    <row r="12" spans="1:104" s="34" customFormat="1" ht="12" customHeight="1">
      <c r="A12" s="31"/>
      <c r="B12" s="31"/>
      <c r="C12" s="31"/>
      <c r="D12" s="31"/>
      <c r="E12" s="31"/>
      <c r="F12" s="31"/>
      <c r="G12" s="31"/>
      <c r="H12" s="31"/>
      <c r="I12" s="31"/>
      <c r="J12" s="31"/>
      <c r="K12" s="31"/>
      <c r="L12" s="31"/>
      <c r="M12" s="31"/>
      <c r="N12" s="31"/>
      <c r="O12" s="31"/>
      <c r="P12" s="31"/>
      <c r="Q12" s="31"/>
      <c r="R12" s="31"/>
      <c r="S12" s="31"/>
      <c r="T12" s="31"/>
      <c r="U12" s="31"/>
      <c r="V12" s="31"/>
      <c r="W12" s="64"/>
      <c r="X12" s="31"/>
      <c r="Y12" s="108" t="str">
        <f>data!$D$7</f>
        <v>International</v>
      </c>
      <c r="Z12" s="108"/>
      <c r="AA12" s="108"/>
      <c r="AB12" s="108"/>
      <c r="AC12" s="129" t="str">
        <f>data!$F$7</f>
        <v>CUSTOM</v>
      </c>
      <c r="AD12" s="130"/>
      <c r="AE12" s="130"/>
      <c r="AF12" s="131"/>
      <c r="AG12" s="31"/>
      <c r="AH12" s="31"/>
      <c r="AI12" s="31"/>
      <c r="AJ12" s="31"/>
      <c r="AK12" s="31"/>
      <c r="AL12" s="31"/>
      <c r="AM12" s="31"/>
      <c r="AN12" s="31"/>
      <c r="AO12" s="31"/>
      <c r="AP12" s="31"/>
      <c r="AQ12" s="31"/>
      <c r="AR12" s="31"/>
      <c r="AS12" s="31"/>
      <c r="AT12" s="31"/>
      <c r="AU12" s="31"/>
      <c r="AV12" s="31"/>
      <c r="AW12" s="31"/>
      <c r="AX12" s="31"/>
      <c r="AY12" s="31"/>
      <c r="AZ12" s="31"/>
      <c r="BA12" s="32"/>
      <c r="BB12" s="32"/>
      <c r="BC12" s="33"/>
      <c r="BD12" s="33"/>
      <c r="BE12" s="60" t="s">
        <v>127</v>
      </c>
      <c r="BH12" s="60"/>
      <c r="BI12" s="50"/>
      <c r="BJ12" s="50"/>
      <c r="BK12" s="50"/>
      <c r="BL12" s="50"/>
      <c r="BM12" s="50"/>
      <c r="CA12" s="28"/>
      <c r="CB12" s="51" t="s">
        <v>83</v>
      </c>
      <c r="CC12" s="52">
        <f>$CC$7*$CH$7</f>
        <v>862.08480000000009</v>
      </c>
      <c r="CD12" s="52">
        <f>IF('Variable Capacity unit'!$BD$7="Required test",$CD$7*$CH$7,IF('Variable Capacity unit'!$BD$17="Default",$CD$7*$CH$7,'Variable Capacity unit'!$L$16))</f>
        <v>237.9</v>
      </c>
      <c r="CE12" s="52">
        <f>IF('Variable Capacity unit'!$BD$7="Required test",$CD$12,IF('Variable Capacity unit'!$BD$11="Not Measure",$CD$12,IF('Variable Capacity unit'!$BD$18="Default",$CD$12,'Variable Capacity unit'!$L$17)))</f>
        <v>237.9</v>
      </c>
      <c r="CF12" s="29"/>
      <c r="CG12" s="29"/>
      <c r="CH12" s="29"/>
      <c r="CI12" s="29"/>
      <c r="CJ12" s="29"/>
      <c r="CK12" s="29"/>
      <c r="CL12" s="29"/>
      <c r="CM12" s="29"/>
      <c r="CN12" s="29"/>
      <c r="CO12" s="29"/>
      <c r="CP12" s="29"/>
      <c r="CQ12" s="29"/>
      <c r="CR12" s="29"/>
      <c r="CS12" s="29"/>
      <c r="CT12" s="29"/>
      <c r="CU12" s="29"/>
      <c r="CV12" s="29"/>
      <c r="CW12" s="29"/>
      <c r="CX12" s="29"/>
      <c r="CY12" s="29"/>
      <c r="CZ12" s="29"/>
    </row>
    <row r="13" spans="1:104" s="34" customFormat="1" ht="12" customHeight="1">
      <c r="A13" s="31"/>
      <c r="B13" s="31"/>
      <c r="C13" s="31"/>
      <c r="D13" s="31" t="s">
        <v>90</v>
      </c>
      <c r="E13" s="31"/>
      <c r="F13" s="31"/>
      <c r="G13" s="31"/>
      <c r="H13" s="31"/>
      <c r="I13" s="31"/>
      <c r="J13" s="31"/>
      <c r="K13" s="31"/>
      <c r="L13" s="31"/>
      <c r="M13" s="31"/>
      <c r="N13" s="31"/>
      <c r="O13" s="31"/>
      <c r="P13" s="31"/>
      <c r="Q13" s="31"/>
      <c r="R13" s="31"/>
      <c r="S13" s="31"/>
      <c r="T13" s="31"/>
      <c r="U13" s="129" t="s">
        <v>120</v>
      </c>
      <c r="V13" s="130"/>
      <c r="W13" s="130"/>
      <c r="X13" s="131"/>
      <c r="Y13" s="126">
        <f>'Variable Capacity unit'!$CK$49/1000</f>
        <v>2221.6758759177774</v>
      </c>
      <c r="Z13" s="126"/>
      <c r="AA13" s="126"/>
      <c r="AB13" s="126"/>
      <c r="AC13" s="126">
        <f>'Variable Capacity unit'!CK108/1000</f>
        <v>2504.5733786391606</v>
      </c>
      <c r="AD13" s="126"/>
      <c r="AE13" s="126"/>
      <c r="AF13" s="126"/>
      <c r="AG13" s="31"/>
      <c r="AH13" s="31"/>
      <c r="AI13" s="31" t="s">
        <v>66</v>
      </c>
      <c r="AJ13" s="31"/>
      <c r="AK13" s="109" t="str">
        <f>$D$9</f>
        <v>Full</v>
      </c>
      <c r="AL13" s="109"/>
      <c r="AM13" s="109"/>
      <c r="AN13" s="109"/>
      <c r="AO13" s="109"/>
      <c r="AP13" s="109"/>
      <c r="AQ13" s="105" t="s">
        <v>101</v>
      </c>
      <c r="AR13" s="105"/>
      <c r="AS13" s="105"/>
      <c r="AT13" s="105"/>
      <c r="AU13" s="105"/>
      <c r="AV13" s="105"/>
      <c r="AW13" s="105"/>
      <c r="AX13" s="105"/>
      <c r="AY13" s="105"/>
      <c r="AZ13" s="105"/>
      <c r="BA13" s="105"/>
      <c r="BB13" s="105"/>
      <c r="BC13" s="33"/>
      <c r="BD13" s="33"/>
      <c r="BE13" s="60" t="s">
        <v>127</v>
      </c>
      <c r="BH13" s="60"/>
      <c r="BI13" s="50"/>
      <c r="BJ13" s="50"/>
      <c r="CA13" s="28"/>
      <c r="CB13" s="44" t="s">
        <v>152</v>
      </c>
      <c r="CC13" s="61">
        <f>$CC$11/$CC$12</f>
        <v>3.7858504014401708</v>
      </c>
      <c r="CD13" s="61">
        <f>$CD$11/$CD$12</f>
        <v>5.7020130031946197</v>
      </c>
      <c r="CE13" s="61">
        <f>$CE$11/$CE$12</f>
        <v>5.7020130031946197</v>
      </c>
      <c r="CF13" s="29"/>
      <c r="CG13" s="29"/>
      <c r="CH13" s="29"/>
      <c r="CI13" s="29"/>
      <c r="CJ13" s="29"/>
      <c r="CK13" s="29"/>
      <c r="CL13" s="29"/>
      <c r="CM13" s="29"/>
      <c r="CN13" s="29"/>
      <c r="CO13" s="29"/>
      <c r="CP13" s="29"/>
      <c r="CQ13" s="29"/>
      <c r="CR13" s="29"/>
      <c r="CS13" s="29"/>
      <c r="CT13" s="29"/>
      <c r="CU13" s="29"/>
      <c r="CV13" s="29"/>
      <c r="CW13" s="29"/>
      <c r="CX13" s="29"/>
      <c r="CY13" s="29"/>
      <c r="CZ13" s="29"/>
    </row>
    <row r="14" spans="1:104" s="34" customFormat="1" ht="12" customHeight="1">
      <c r="A14" s="31"/>
      <c r="B14" s="31"/>
      <c r="C14" s="31"/>
      <c r="D14" s="31"/>
      <c r="E14" s="31"/>
      <c r="F14" s="31"/>
      <c r="G14" s="31"/>
      <c r="H14" s="132" t="str">
        <f>$H$8</f>
        <v>Capacity [W]</v>
      </c>
      <c r="I14" s="132"/>
      <c r="J14" s="132"/>
      <c r="K14" s="132"/>
      <c r="L14" s="132" t="str">
        <f>$L$8</f>
        <v>Power [W]</v>
      </c>
      <c r="M14" s="132"/>
      <c r="N14" s="132"/>
      <c r="O14" s="132"/>
      <c r="P14" s="103" t="str">
        <f>$P$8</f>
        <v>EER</v>
      </c>
      <c r="Q14" s="104"/>
      <c r="R14" s="31"/>
      <c r="S14" s="31"/>
      <c r="T14" s="31"/>
      <c r="U14" s="129" t="s">
        <v>121</v>
      </c>
      <c r="V14" s="130"/>
      <c r="W14" s="130"/>
      <c r="X14" s="131"/>
      <c r="Y14" s="126">
        <f>'Variable Capacity unit'!$CZ$49/1000</f>
        <v>336.23445138252038</v>
      </c>
      <c r="Z14" s="126"/>
      <c r="AA14" s="126"/>
      <c r="AB14" s="126"/>
      <c r="AC14" s="126">
        <f>'Variable Capacity unit'!CZ108/1000</f>
        <v>395.41085945718095</v>
      </c>
      <c r="AD14" s="126"/>
      <c r="AE14" s="126"/>
      <c r="AF14" s="126"/>
      <c r="AG14" s="31"/>
      <c r="AH14" s="31"/>
      <c r="AI14" s="31"/>
      <c r="AJ14" s="31"/>
      <c r="AK14" s="109" t="str">
        <f>$D$10</f>
        <v>Half</v>
      </c>
      <c r="AL14" s="109"/>
      <c r="AM14" s="109"/>
      <c r="AN14" s="109"/>
      <c r="AO14" s="109"/>
      <c r="AP14" s="109"/>
      <c r="AQ14" s="105" t="s">
        <v>101</v>
      </c>
      <c r="AR14" s="105"/>
      <c r="AS14" s="105"/>
      <c r="AT14" s="105"/>
      <c r="AU14" s="105"/>
      <c r="AV14" s="105"/>
      <c r="AW14" s="105"/>
      <c r="AX14" s="105"/>
      <c r="AY14" s="105"/>
      <c r="AZ14" s="105"/>
      <c r="BA14" s="105"/>
      <c r="BB14" s="105"/>
      <c r="BC14" s="33"/>
      <c r="BD14" s="33"/>
      <c r="BE14" s="60" t="s">
        <v>127</v>
      </c>
      <c r="BH14" s="60"/>
      <c r="BI14" s="50"/>
      <c r="BJ14" s="50"/>
      <c r="CA14" s="28"/>
      <c r="CB14" s="44"/>
      <c r="CC14" s="44"/>
      <c r="CD14" s="44"/>
      <c r="CE14" s="44"/>
      <c r="CF14" s="29"/>
      <c r="CG14" s="29"/>
      <c r="CH14" s="29"/>
      <c r="CI14" s="29"/>
      <c r="CJ14" s="29"/>
      <c r="CK14" s="29"/>
      <c r="CL14" s="29"/>
      <c r="CM14" s="29"/>
      <c r="CN14" s="29"/>
      <c r="CO14" s="29"/>
      <c r="CP14" s="29"/>
      <c r="CQ14" s="29"/>
      <c r="CR14" s="29"/>
      <c r="CS14" s="29"/>
      <c r="CT14" s="29"/>
      <c r="CU14" s="29"/>
      <c r="CV14" s="29"/>
      <c r="CW14" s="29"/>
      <c r="CX14" s="29"/>
      <c r="CY14" s="29"/>
      <c r="CZ14" s="29"/>
    </row>
    <row r="15" spans="1:104" s="34" customFormat="1" ht="12" customHeight="1">
      <c r="A15" s="31"/>
      <c r="B15" s="31"/>
      <c r="C15" s="31"/>
      <c r="D15" s="123" t="str">
        <f>$D$9</f>
        <v>Full</v>
      </c>
      <c r="E15" s="124"/>
      <c r="F15" s="124"/>
      <c r="G15" s="125"/>
      <c r="H15" s="138">
        <v>3300</v>
      </c>
      <c r="I15" s="138"/>
      <c r="J15" s="138"/>
      <c r="K15" s="138"/>
      <c r="L15" s="138">
        <v>680</v>
      </c>
      <c r="M15" s="138"/>
      <c r="N15" s="138"/>
      <c r="O15" s="138"/>
      <c r="P15" s="137">
        <f>$H$15/$L$15</f>
        <v>4.8529411764705879</v>
      </c>
      <c r="Q15" s="137"/>
      <c r="R15" s="31"/>
      <c r="S15" s="31"/>
      <c r="T15" s="31"/>
      <c r="U15" s="129" t="s">
        <v>0</v>
      </c>
      <c r="V15" s="130"/>
      <c r="W15" s="130"/>
      <c r="X15" s="131"/>
      <c r="Y15" s="145">
        <f>'Variable Capacity unit'!$CF$3</f>
        <v>6.6075200408011323</v>
      </c>
      <c r="Z15" s="145"/>
      <c r="AA15" s="145"/>
      <c r="AB15" s="145"/>
      <c r="AC15" s="147">
        <f>'Variable Capacity unit'!CF62</f>
        <v>6.3341036765591943</v>
      </c>
      <c r="AD15" s="108"/>
      <c r="AE15" s="108"/>
      <c r="AF15" s="108"/>
      <c r="AG15" s="31"/>
      <c r="AH15" s="31"/>
      <c r="AI15" s="31"/>
      <c r="AJ15" s="31"/>
      <c r="AK15" s="109" t="str">
        <f>$D$11</f>
        <v>Minimum</v>
      </c>
      <c r="AL15" s="109"/>
      <c r="AM15" s="109"/>
      <c r="AN15" s="109"/>
      <c r="AO15" s="109"/>
      <c r="AP15" s="109"/>
      <c r="AQ15" s="65"/>
      <c r="AR15" s="101" t="s">
        <v>102</v>
      </c>
      <c r="AS15" s="101"/>
      <c r="AT15" s="101"/>
      <c r="AU15" s="101"/>
      <c r="AV15" s="101"/>
      <c r="AW15" s="57"/>
      <c r="AX15" s="101" t="s">
        <v>101</v>
      </c>
      <c r="AY15" s="101"/>
      <c r="AZ15" s="101"/>
      <c r="BA15" s="101"/>
      <c r="BB15" s="102"/>
      <c r="BC15" s="81">
        <v>1</v>
      </c>
      <c r="BD15" s="33" t="str">
        <f>IF(AND($BC$7=2,$BC$11=2),IF($BC$15=2,"Measure","Default"),"Default")</f>
        <v>Default</v>
      </c>
      <c r="BE15" s="60" t="s">
        <v>127</v>
      </c>
      <c r="BH15" s="60"/>
      <c r="BI15" s="50"/>
      <c r="BJ15" s="50"/>
      <c r="CA15" s="28"/>
      <c r="CB15" s="97" t="s">
        <v>5</v>
      </c>
      <c r="CC15" s="98" t="s">
        <v>7</v>
      </c>
      <c r="CD15" s="97" t="s">
        <v>8</v>
      </c>
      <c r="CE15" s="66" t="s">
        <v>9</v>
      </c>
      <c r="CF15" s="66" t="s">
        <v>10</v>
      </c>
      <c r="CG15" s="66" t="s">
        <v>20</v>
      </c>
      <c r="CH15" s="99" t="s">
        <v>11</v>
      </c>
      <c r="CI15" s="99"/>
      <c r="CJ15" s="99"/>
      <c r="CK15" s="67" t="s">
        <v>2</v>
      </c>
      <c r="CL15" s="99" t="s">
        <v>13</v>
      </c>
      <c r="CM15" s="99"/>
      <c r="CN15" s="99"/>
      <c r="CO15" s="99" t="s">
        <v>16</v>
      </c>
      <c r="CP15" s="99"/>
      <c r="CQ15" s="99"/>
      <c r="CR15" s="99" t="s">
        <v>40</v>
      </c>
      <c r="CS15" s="99"/>
      <c r="CT15" s="99"/>
      <c r="CU15" s="99"/>
      <c r="CV15" s="99" t="s">
        <v>17</v>
      </c>
      <c r="CW15" s="99"/>
      <c r="CX15" s="99"/>
      <c r="CY15" s="99"/>
      <c r="CZ15" s="67" t="s">
        <v>3</v>
      </c>
    </row>
    <row r="16" spans="1:104" s="34" customFormat="1" ht="12" customHeight="1">
      <c r="A16" s="31"/>
      <c r="B16" s="31"/>
      <c r="C16" s="31"/>
      <c r="D16" s="123" t="str">
        <f>$D$10</f>
        <v>Half</v>
      </c>
      <c r="E16" s="124"/>
      <c r="F16" s="124"/>
      <c r="G16" s="125"/>
      <c r="H16" s="127">
        <v>1356.5088934600001</v>
      </c>
      <c r="I16" s="127"/>
      <c r="J16" s="127"/>
      <c r="K16" s="127"/>
      <c r="L16" s="127">
        <v>237.9</v>
      </c>
      <c r="M16" s="127"/>
      <c r="N16" s="127"/>
      <c r="O16" s="127"/>
      <c r="P16" s="111">
        <f>$H$16/$L$16</f>
        <v>5.7020130031946197</v>
      </c>
      <c r="Q16" s="111"/>
      <c r="R16" s="31"/>
      <c r="S16" s="31"/>
      <c r="T16" s="31"/>
      <c r="U16" s="31"/>
      <c r="V16" s="31"/>
      <c r="W16" s="31"/>
      <c r="X16" s="31"/>
      <c r="Y16" s="31"/>
      <c r="Z16" s="31"/>
      <c r="AA16" s="31"/>
      <c r="AB16" s="31"/>
      <c r="AC16" s="31"/>
      <c r="AD16" s="31"/>
      <c r="AE16" s="31"/>
      <c r="AF16" s="31"/>
      <c r="AG16" s="31"/>
      <c r="AH16" s="31"/>
      <c r="AI16" s="31" t="s">
        <v>67</v>
      </c>
      <c r="AJ16" s="31"/>
      <c r="AK16" s="109" t="str">
        <f>$D$9</f>
        <v>Full</v>
      </c>
      <c r="AL16" s="109"/>
      <c r="AM16" s="109"/>
      <c r="AN16" s="109"/>
      <c r="AO16" s="109"/>
      <c r="AP16" s="109"/>
      <c r="AQ16" s="110" t="s">
        <v>102</v>
      </c>
      <c r="AR16" s="110"/>
      <c r="AS16" s="110"/>
      <c r="AT16" s="110"/>
      <c r="AU16" s="110"/>
      <c r="AV16" s="110"/>
      <c r="AW16" s="110"/>
      <c r="AX16" s="110"/>
      <c r="AY16" s="110"/>
      <c r="AZ16" s="110"/>
      <c r="BA16" s="110"/>
      <c r="BB16" s="110"/>
      <c r="BC16" s="33"/>
      <c r="BD16" s="33"/>
      <c r="BE16" s="60" t="s">
        <v>127</v>
      </c>
      <c r="BH16" s="60"/>
      <c r="BI16" s="50"/>
      <c r="BJ16" s="50"/>
      <c r="CA16" s="29"/>
      <c r="CB16" s="97"/>
      <c r="CC16" s="98"/>
      <c r="CD16" s="97"/>
      <c r="CE16" s="67" t="s">
        <v>153</v>
      </c>
      <c r="CF16" s="96" t="s">
        <v>154</v>
      </c>
      <c r="CG16" s="96" t="s">
        <v>155</v>
      </c>
      <c r="CH16" s="68" t="s">
        <v>4</v>
      </c>
      <c r="CI16" s="68" t="s">
        <v>14</v>
      </c>
      <c r="CJ16" s="68" t="s">
        <v>12</v>
      </c>
      <c r="CK16" s="100" t="s">
        <v>129</v>
      </c>
      <c r="CL16" s="68" t="s">
        <v>4</v>
      </c>
      <c r="CM16" s="68" t="s">
        <v>14</v>
      </c>
      <c r="CN16" s="68" t="s">
        <v>12</v>
      </c>
      <c r="CO16" s="68" t="s">
        <v>4</v>
      </c>
      <c r="CP16" s="68" t="s">
        <v>14</v>
      </c>
      <c r="CQ16" s="68" t="s">
        <v>12</v>
      </c>
      <c r="CR16" s="68" t="s">
        <v>156</v>
      </c>
      <c r="CS16" s="68" t="s">
        <v>157</v>
      </c>
      <c r="CT16" s="68" t="s">
        <v>158</v>
      </c>
      <c r="CU16" s="68" t="s">
        <v>84</v>
      </c>
      <c r="CV16" s="68" t="s">
        <v>156</v>
      </c>
      <c r="CW16" s="68" t="s">
        <v>157</v>
      </c>
      <c r="CX16" s="68" t="s">
        <v>158</v>
      </c>
      <c r="CY16" s="68" t="s">
        <v>84</v>
      </c>
      <c r="CZ16" s="100" t="s">
        <v>130</v>
      </c>
    </row>
    <row r="17" spans="1:104" s="34" customFormat="1" ht="12" customHeight="1">
      <c r="A17" s="31"/>
      <c r="B17" s="31"/>
      <c r="C17" s="31"/>
      <c r="D17" s="123" t="str">
        <f>$D$11</f>
        <v>Minimum</v>
      </c>
      <c r="E17" s="124"/>
      <c r="F17" s="124"/>
      <c r="G17" s="125"/>
      <c r="H17" s="128">
        <v>1650</v>
      </c>
      <c r="I17" s="128"/>
      <c r="J17" s="128"/>
      <c r="K17" s="128"/>
      <c r="L17" s="128">
        <v>290</v>
      </c>
      <c r="M17" s="128"/>
      <c r="N17" s="128"/>
      <c r="O17" s="128"/>
      <c r="P17" s="111">
        <f>$H$17/$L$17</f>
        <v>5.6896551724137927</v>
      </c>
      <c r="Q17" s="111"/>
      <c r="R17" s="31"/>
      <c r="S17" s="31"/>
      <c r="T17" s="31"/>
      <c r="U17" s="129" t="s">
        <v>76</v>
      </c>
      <c r="V17" s="130"/>
      <c r="W17" s="130"/>
      <c r="X17" s="131"/>
      <c r="Y17" s="142">
        <f>'Variable Capacity unit'!$CH$5</f>
        <v>0.25</v>
      </c>
      <c r="Z17" s="143"/>
      <c r="AA17" s="143"/>
      <c r="AB17" s="144"/>
      <c r="AC17" s="147">
        <f>'Variable Capacity unit'!CH64</f>
        <v>0.25</v>
      </c>
      <c r="AD17" s="108"/>
      <c r="AE17" s="108"/>
      <c r="AF17" s="108"/>
      <c r="AG17" s="31"/>
      <c r="AH17" s="31"/>
      <c r="AI17" s="31"/>
      <c r="AJ17" s="31"/>
      <c r="AK17" s="109" t="str">
        <f>$D$10</f>
        <v>Half</v>
      </c>
      <c r="AL17" s="109"/>
      <c r="AM17" s="109"/>
      <c r="AN17" s="109"/>
      <c r="AO17" s="109"/>
      <c r="AP17" s="109"/>
      <c r="AQ17" s="65"/>
      <c r="AR17" s="106" t="s">
        <v>45</v>
      </c>
      <c r="AS17" s="106"/>
      <c r="AT17" s="106"/>
      <c r="AU17" s="106"/>
      <c r="AV17" s="106"/>
      <c r="AW17" s="69"/>
      <c r="AX17" s="106" t="s">
        <v>44</v>
      </c>
      <c r="AY17" s="106"/>
      <c r="AZ17" s="106"/>
      <c r="BA17" s="106"/>
      <c r="BB17" s="107"/>
      <c r="BC17" s="81">
        <v>2</v>
      </c>
      <c r="BD17" s="33" t="str">
        <f>IF(AND($BC$7=2,$BC$17=2),"Measure","Default")</f>
        <v>Measure</v>
      </c>
      <c r="BE17" s="60" t="s">
        <v>127</v>
      </c>
      <c r="BH17" s="60"/>
      <c r="BI17" s="50"/>
      <c r="BJ17" s="50"/>
      <c r="CA17" s="29"/>
      <c r="CB17" s="63" t="s">
        <v>6</v>
      </c>
      <c r="CC17" s="63" t="s">
        <v>159</v>
      </c>
      <c r="CD17" s="63" t="s">
        <v>160</v>
      </c>
      <c r="CE17" s="68" t="s">
        <v>15</v>
      </c>
      <c r="CF17" s="99"/>
      <c r="CG17" s="99"/>
      <c r="CH17" s="67" t="s">
        <v>161</v>
      </c>
      <c r="CI17" s="67" t="s">
        <v>162</v>
      </c>
      <c r="CJ17" s="67" t="s">
        <v>163</v>
      </c>
      <c r="CK17" s="100"/>
      <c r="CL17" s="68" t="s">
        <v>164</v>
      </c>
      <c r="CM17" s="68" t="s">
        <v>165</v>
      </c>
      <c r="CN17" s="68" t="s">
        <v>166</v>
      </c>
      <c r="CO17" s="67" t="s">
        <v>167</v>
      </c>
      <c r="CP17" s="67" t="s">
        <v>168</v>
      </c>
      <c r="CQ17" s="67" t="s">
        <v>169</v>
      </c>
      <c r="CR17" s="67" t="s">
        <v>170</v>
      </c>
      <c r="CS17" s="67" t="s">
        <v>171</v>
      </c>
      <c r="CT17" s="67" t="s">
        <v>172</v>
      </c>
      <c r="CU17" s="67" t="s">
        <v>167</v>
      </c>
      <c r="CV17" s="67" t="s">
        <v>173</v>
      </c>
      <c r="CW17" s="67" t="s">
        <v>174</v>
      </c>
      <c r="CX17" s="67" t="s">
        <v>175</v>
      </c>
      <c r="CY17" s="67" t="s">
        <v>176</v>
      </c>
      <c r="CZ17" s="100"/>
    </row>
    <row r="18" spans="1:104" s="34" customFormat="1" ht="12" customHeight="1">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109" t="str">
        <f>$D$11</f>
        <v>Minimum</v>
      </c>
      <c r="AL18" s="109"/>
      <c r="AM18" s="109"/>
      <c r="AN18" s="109"/>
      <c r="AO18" s="109"/>
      <c r="AP18" s="123"/>
      <c r="AQ18" s="57"/>
      <c r="AR18" s="101" t="s">
        <v>105</v>
      </c>
      <c r="AS18" s="101"/>
      <c r="AT18" s="101"/>
      <c r="AU18" s="101"/>
      <c r="AV18" s="102"/>
      <c r="AW18" s="57"/>
      <c r="AX18" s="101" t="s">
        <v>106</v>
      </c>
      <c r="AY18" s="101"/>
      <c r="AZ18" s="101"/>
      <c r="BA18" s="101"/>
      <c r="BB18" s="102"/>
      <c r="BC18" s="81">
        <v>1</v>
      </c>
      <c r="BD18" s="33" t="str">
        <f>IF(AND($BC$7=2,$BC$11=2),"Measure","Not Measure")</f>
        <v>Not Measure</v>
      </c>
      <c r="BE18" s="60" t="s">
        <v>127</v>
      </c>
      <c r="BH18" s="60"/>
      <c r="BI18" s="50"/>
      <c r="BJ18" s="50"/>
      <c r="CA18" s="29"/>
      <c r="CB18" s="63">
        <v>1</v>
      </c>
      <c r="CC18" s="63">
        <f>data!$D22</f>
        <v>15</v>
      </c>
      <c r="CD18" s="63">
        <f>data!$E22</f>
        <v>0</v>
      </c>
      <c r="CE18" s="70">
        <f t="shared" ref="CE18:CE48" si="0">IF($CC$3*($CC18-$CH$8)/($CH$9-$CH$8)&lt;0,0,$CC$3*($CC18-$CH$8)/($CH$9-$CH$8))</f>
        <v>0</v>
      </c>
      <c r="CF18" s="71">
        <f t="shared" ref="CF18:CF48" si="1">1-$CH$5*(1-$CG18)</f>
        <v>0.75</v>
      </c>
      <c r="CG18" s="71">
        <f t="shared" ref="CG18:CG48" si="2">IF($CE18&lt;$CJ18,$CE18/$CJ18,1)</f>
        <v>0</v>
      </c>
      <c r="CH18" s="72">
        <f t="shared" ref="CH18:CH48" si="3">$CC$6+($CC$11-$CC$6)/(35-29)*(35-$CC18)</f>
        <v>3808.1831645948996</v>
      </c>
      <c r="CI18" s="72">
        <f t="shared" ref="CI18:CI48" si="4">$CD$6+($CD$11-$CD$6)/(35-29)*(35-$CC18)</f>
        <v>783.25205282333445</v>
      </c>
      <c r="CJ18" s="72">
        <f t="shared" ref="CJ18:CJ48" si="5">$CE$6+($CE$11-$CE$6)/(35-29)*(35-$CC18)</f>
        <v>783.25205282333445</v>
      </c>
      <c r="CK18" s="70">
        <f t="shared" ref="CK18:CK48" si="6">IF($CE18&lt;$CH18,$CE18*$CD18,$CH18*$CD18)</f>
        <v>0</v>
      </c>
      <c r="CL18" s="72">
        <f t="shared" ref="CL18:CL48" si="7">$CC$7+($CC$12-$CC$7)/(35-29)*(35-$CC18)</f>
        <v>672.81600000000026</v>
      </c>
      <c r="CM18" s="72">
        <f t="shared" ref="CM18:CM48" si="8">$CD$7+($CD$12-$CD$7)/(35-29)*(35-$CC18)</f>
        <v>-102.06666666666666</v>
      </c>
      <c r="CN18" s="72">
        <f t="shared" ref="CN18:CN48" si="9">$CE$7+($CE$12-$CE$7)/(35-29)*(35-$CC18)</f>
        <v>-102.06666666666666</v>
      </c>
      <c r="CO18" s="45">
        <f t="shared" ref="CO18:CO48" si="10">$CH18/$CL18</f>
        <v>5.6600662953837277</v>
      </c>
      <c r="CP18" s="45">
        <f t="shared" ref="CP18:CP48" si="11">$CI18/$CM18</f>
        <v>-7.6739260564010561</v>
      </c>
      <c r="CQ18" s="45">
        <f t="shared" ref="CQ18:CQ48" si="12">$CJ18/$CN18</f>
        <v>-7.6739260564010561</v>
      </c>
      <c r="CR18" s="45">
        <f t="shared" ref="CR18:CR48" si="13">IF($CJ18&gt;$CE18,$CJ18/$CN18,0)</f>
        <v>-7.6739260564010561</v>
      </c>
      <c r="CS18" s="45">
        <f t="shared" ref="CS18:CS48" si="14">IF(AND($CJ18&lt;$CE18,$CE18&lt;=$CI18),$CN$8+($CN$7-$CN$8)/($CK$6-$CK$7)*($CC18-$CK$7),0)</f>
        <v>0</v>
      </c>
      <c r="CT18" s="45">
        <f t="shared" ref="CT18:CT48" si="15">IF(AND($CI18&lt;$CE18,$CE18&lt;=$CH18),$CN$7+($CN$6-$CN$7)/($CK$5-$CK$6)*($CC18-$CK$6),0)</f>
        <v>0</v>
      </c>
      <c r="CU18" s="45">
        <f t="shared" ref="CU18:CU48" si="16">IF($CE18&gt;$CH18,$CH18/$CL18,0)</f>
        <v>0</v>
      </c>
      <c r="CV18" s="72">
        <f t="shared" ref="CV18:CV48" si="17">IF($CJ18&gt;=$CE18,$CN18,0)</f>
        <v>-102.06666666666666</v>
      </c>
      <c r="CW18" s="72">
        <f t="shared" ref="CW18:CW48" si="18">IF($CS18&gt;0,$CE18/$CS18,0)</f>
        <v>0</v>
      </c>
      <c r="CX18" s="72">
        <f t="shared" ref="CX18:CX48" si="19">IF($CT18&gt;0,$CE18/$CT18,0)</f>
        <v>0</v>
      </c>
      <c r="CY18" s="72">
        <f t="shared" ref="CY18:CY48" si="20">IF($CU18&gt;0,$CH18/$CU18,0)</f>
        <v>0</v>
      </c>
      <c r="CZ18" s="70">
        <f t="shared" ref="CZ18:CZ47" si="21">IF($CF18=0,0,$CG18*$CV18*$CD18/$CF18+$CW18*$CD18+$CX18*$CD18+$CY18*$CD18)</f>
        <v>0</v>
      </c>
    </row>
    <row r="19" spans="1:104" s="34" customFormat="1" ht="12" customHeight="1">
      <c r="A19" s="31"/>
      <c r="B19" s="31"/>
      <c r="C19" s="31"/>
      <c r="D19" s="31" t="s">
        <v>99</v>
      </c>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112" t="s">
        <v>122</v>
      </c>
      <c r="AR19" s="112"/>
      <c r="AS19" s="112"/>
      <c r="AT19" s="112"/>
      <c r="AU19" s="112"/>
      <c r="AV19" s="112"/>
      <c r="AW19" s="112"/>
      <c r="AX19" s="112"/>
      <c r="AY19" s="112"/>
      <c r="AZ19" s="112"/>
      <c r="BA19" s="112"/>
      <c r="BB19" s="112"/>
      <c r="BC19" s="33"/>
      <c r="BD19" s="33"/>
      <c r="BE19" s="34" t="s">
        <v>127</v>
      </c>
      <c r="BH19" s="60"/>
      <c r="BI19" s="50"/>
      <c r="BJ19" s="50"/>
      <c r="BK19" s="50"/>
      <c r="BL19" s="50"/>
      <c r="BM19" s="50"/>
      <c r="BN19" s="50"/>
      <c r="BO19" s="50"/>
      <c r="BP19" s="50"/>
      <c r="CA19" s="29"/>
      <c r="CB19" s="63">
        <v>2</v>
      </c>
      <c r="CC19" s="63">
        <f>data!$D23</f>
        <v>16</v>
      </c>
      <c r="CD19" s="63">
        <f>data!$E23</f>
        <v>0</v>
      </c>
      <c r="CE19" s="70">
        <f t="shared" si="0"/>
        <v>0</v>
      </c>
      <c r="CF19" s="71">
        <f t="shared" si="1"/>
        <v>0.75</v>
      </c>
      <c r="CG19" s="71">
        <f t="shared" si="2"/>
        <v>0</v>
      </c>
      <c r="CH19" s="72">
        <f t="shared" si="3"/>
        <v>3769.2932304206543</v>
      </c>
      <c r="CI19" s="72">
        <f t="shared" si="4"/>
        <v>824.19897001166771</v>
      </c>
      <c r="CJ19" s="72">
        <f t="shared" si="5"/>
        <v>824.19897001166771</v>
      </c>
      <c r="CK19" s="70">
        <f t="shared" si="6"/>
        <v>0</v>
      </c>
      <c r="CL19" s="72">
        <f t="shared" si="7"/>
        <v>686.33520000000021</v>
      </c>
      <c r="CM19" s="72">
        <f t="shared" si="8"/>
        <v>-77.78333333333336</v>
      </c>
      <c r="CN19" s="72">
        <f t="shared" si="9"/>
        <v>-77.78333333333336</v>
      </c>
      <c r="CO19" s="45">
        <f t="shared" si="10"/>
        <v>5.4919130337780331</v>
      </c>
      <c r="CP19" s="45">
        <f t="shared" si="11"/>
        <v>-10.596087036790239</v>
      </c>
      <c r="CQ19" s="45">
        <f t="shared" si="12"/>
        <v>-10.596087036790239</v>
      </c>
      <c r="CR19" s="45">
        <f t="shared" si="13"/>
        <v>-10.596087036790239</v>
      </c>
      <c r="CS19" s="45">
        <f t="shared" si="14"/>
        <v>0</v>
      </c>
      <c r="CT19" s="45">
        <f t="shared" si="15"/>
        <v>0</v>
      </c>
      <c r="CU19" s="45">
        <f t="shared" si="16"/>
        <v>0</v>
      </c>
      <c r="CV19" s="72">
        <f t="shared" si="17"/>
        <v>-77.78333333333336</v>
      </c>
      <c r="CW19" s="72">
        <f t="shared" si="18"/>
        <v>0</v>
      </c>
      <c r="CX19" s="72">
        <f t="shared" si="19"/>
        <v>0</v>
      </c>
      <c r="CY19" s="72">
        <f t="shared" si="20"/>
        <v>0</v>
      </c>
      <c r="CZ19" s="70">
        <f t="shared" si="21"/>
        <v>0</v>
      </c>
    </row>
    <row r="20" spans="1:104" s="34" customFormat="1" ht="12" customHeight="1">
      <c r="A20" s="31"/>
      <c r="B20" s="31"/>
      <c r="C20" s="31"/>
      <c r="D20" s="31"/>
      <c r="E20" s="31"/>
      <c r="F20" s="31"/>
      <c r="G20" s="31"/>
      <c r="H20" s="132" t="str">
        <f>$H$8</f>
        <v>Capacity [W]</v>
      </c>
      <c r="I20" s="132"/>
      <c r="J20" s="132"/>
      <c r="K20" s="132"/>
      <c r="L20" s="132" t="str">
        <f>$L$8</f>
        <v>Power [W]</v>
      </c>
      <c r="M20" s="132"/>
      <c r="N20" s="132"/>
      <c r="O20" s="132"/>
      <c r="P20" s="103" t="str">
        <f>$P$8</f>
        <v>EER</v>
      </c>
      <c r="Q20" s="104"/>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113"/>
      <c r="AR20" s="113"/>
      <c r="AS20" s="113"/>
      <c r="AT20" s="113"/>
      <c r="AU20" s="113"/>
      <c r="AV20" s="113"/>
      <c r="AW20" s="113"/>
      <c r="AX20" s="113"/>
      <c r="AY20" s="113"/>
      <c r="AZ20" s="113"/>
      <c r="BA20" s="113"/>
      <c r="BB20" s="113"/>
      <c r="BC20" s="33"/>
      <c r="BD20" s="33"/>
      <c r="BE20" s="34" t="s">
        <v>127</v>
      </c>
      <c r="BH20" s="60"/>
      <c r="BI20" s="50"/>
      <c r="BJ20" s="50"/>
      <c r="BK20" s="50"/>
      <c r="BL20" s="50"/>
      <c r="BM20" s="50"/>
      <c r="BN20" s="50"/>
      <c r="BO20" s="50"/>
      <c r="BP20" s="50"/>
      <c r="CA20" s="29"/>
      <c r="CB20" s="63">
        <v>3</v>
      </c>
      <c r="CC20" s="63">
        <f>data!$D24</f>
        <v>17</v>
      </c>
      <c r="CD20" s="63">
        <f>data!$E24</f>
        <v>0</v>
      </c>
      <c r="CE20" s="70">
        <f t="shared" si="0"/>
        <v>0</v>
      </c>
      <c r="CF20" s="71">
        <f t="shared" si="1"/>
        <v>0.75</v>
      </c>
      <c r="CG20" s="71">
        <f t="shared" si="2"/>
        <v>0</v>
      </c>
      <c r="CH20" s="72">
        <f t="shared" si="3"/>
        <v>3730.4032962464094</v>
      </c>
      <c r="CI20" s="72">
        <f t="shared" si="4"/>
        <v>865.14588720000097</v>
      </c>
      <c r="CJ20" s="72">
        <f t="shared" si="5"/>
        <v>865.14588720000097</v>
      </c>
      <c r="CK20" s="70">
        <f t="shared" si="6"/>
        <v>0</v>
      </c>
      <c r="CL20" s="72">
        <f t="shared" si="7"/>
        <v>699.85440000000017</v>
      </c>
      <c r="CM20" s="72">
        <f t="shared" si="8"/>
        <v>-53.5</v>
      </c>
      <c r="CN20" s="72">
        <f t="shared" si="9"/>
        <v>-53.5</v>
      </c>
      <c r="CO20" s="45">
        <f t="shared" si="10"/>
        <v>5.3302562593682463</v>
      </c>
      <c r="CP20" s="45">
        <f t="shared" si="11"/>
        <v>-16.170951162616841</v>
      </c>
      <c r="CQ20" s="45">
        <f t="shared" si="12"/>
        <v>-16.170951162616841</v>
      </c>
      <c r="CR20" s="45">
        <f t="shared" si="13"/>
        <v>-16.170951162616841</v>
      </c>
      <c r="CS20" s="45">
        <f t="shared" si="14"/>
        <v>0</v>
      </c>
      <c r="CT20" s="45">
        <f t="shared" si="15"/>
        <v>0</v>
      </c>
      <c r="CU20" s="45">
        <f t="shared" si="16"/>
        <v>0</v>
      </c>
      <c r="CV20" s="72">
        <f t="shared" si="17"/>
        <v>-53.5</v>
      </c>
      <c r="CW20" s="72">
        <f t="shared" si="18"/>
        <v>0</v>
      </c>
      <c r="CX20" s="72">
        <f t="shared" si="19"/>
        <v>0</v>
      </c>
      <c r="CY20" s="72">
        <f t="shared" si="20"/>
        <v>0</v>
      </c>
      <c r="CZ20" s="70">
        <f t="shared" si="21"/>
        <v>0</v>
      </c>
    </row>
    <row r="21" spans="1:104" s="34" customFormat="1" ht="12" customHeight="1">
      <c r="A21" s="31"/>
      <c r="B21" s="31"/>
      <c r="C21" s="31"/>
      <c r="D21" s="108" t="s">
        <v>56</v>
      </c>
      <c r="E21" s="108"/>
      <c r="F21" s="108"/>
      <c r="G21" s="108"/>
      <c r="H21" s="133"/>
      <c r="I21" s="133"/>
      <c r="J21" s="133"/>
      <c r="K21" s="133"/>
      <c r="L21" s="133"/>
      <c r="M21" s="133"/>
      <c r="N21" s="133"/>
      <c r="O21" s="133"/>
      <c r="P21" s="139"/>
      <c r="Q21" s="139"/>
      <c r="R21" s="31"/>
      <c r="S21" s="31"/>
      <c r="T21" s="31"/>
      <c r="U21" s="31"/>
      <c r="V21" s="31"/>
      <c r="W21" s="31"/>
      <c r="X21" s="31"/>
      <c r="Y21" s="31"/>
      <c r="Z21" s="31"/>
      <c r="AA21" s="31"/>
      <c r="AB21" s="31"/>
      <c r="AC21" s="31"/>
      <c r="AD21" s="31"/>
      <c r="AE21" s="31"/>
      <c r="AF21" s="31"/>
      <c r="AG21" s="31"/>
      <c r="AH21" s="31"/>
      <c r="AI21" s="73" t="s">
        <v>124</v>
      </c>
      <c r="AJ21" s="31"/>
      <c r="AK21" s="31"/>
      <c r="AL21" s="31"/>
      <c r="AM21" s="31"/>
      <c r="AN21" s="31"/>
      <c r="AO21" s="31"/>
      <c r="AP21" s="31"/>
      <c r="AQ21" s="114"/>
      <c r="AR21" s="114"/>
      <c r="AS21" s="114"/>
      <c r="AT21" s="114"/>
      <c r="AU21" s="114"/>
      <c r="AV21" s="114"/>
      <c r="AW21" s="114"/>
      <c r="AX21" s="114"/>
      <c r="AY21" s="114"/>
      <c r="AZ21" s="114"/>
      <c r="BA21" s="114"/>
      <c r="BB21" s="114"/>
      <c r="BC21" s="74"/>
      <c r="BD21" s="33"/>
      <c r="BE21" s="34" t="s">
        <v>127</v>
      </c>
      <c r="BH21" s="60"/>
      <c r="BI21" s="50"/>
      <c r="BJ21" s="50"/>
      <c r="CA21" s="29"/>
      <c r="CB21" s="63">
        <v>4</v>
      </c>
      <c r="CC21" s="63">
        <f>data!$D25</f>
        <v>18</v>
      </c>
      <c r="CD21" s="63">
        <f>data!$E25</f>
        <v>0</v>
      </c>
      <c r="CE21" s="70">
        <f t="shared" si="0"/>
        <v>0</v>
      </c>
      <c r="CF21" s="71">
        <f t="shared" si="1"/>
        <v>0.75</v>
      </c>
      <c r="CG21" s="71">
        <f t="shared" si="2"/>
        <v>0</v>
      </c>
      <c r="CH21" s="72">
        <f t="shared" si="3"/>
        <v>3691.5133620721645</v>
      </c>
      <c r="CI21" s="72">
        <f t="shared" si="4"/>
        <v>906.09280438833423</v>
      </c>
      <c r="CJ21" s="72">
        <f t="shared" si="5"/>
        <v>906.09280438833423</v>
      </c>
      <c r="CK21" s="70">
        <f t="shared" si="6"/>
        <v>0</v>
      </c>
      <c r="CL21" s="72">
        <f t="shared" si="7"/>
        <v>713.37360000000012</v>
      </c>
      <c r="CM21" s="72">
        <f t="shared" si="8"/>
        <v>-29.216666666666697</v>
      </c>
      <c r="CN21" s="72">
        <f t="shared" si="9"/>
        <v>-29.216666666666697</v>
      </c>
      <c r="CO21" s="45">
        <f t="shared" si="10"/>
        <v>5.1747266258131273</v>
      </c>
      <c r="CP21" s="45">
        <f t="shared" si="11"/>
        <v>-31.012874080604675</v>
      </c>
      <c r="CQ21" s="45">
        <f t="shared" si="12"/>
        <v>-31.012874080604675</v>
      </c>
      <c r="CR21" s="45">
        <f t="shared" si="13"/>
        <v>-31.012874080604675</v>
      </c>
      <c r="CS21" s="45">
        <f t="shared" si="14"/>
        <v>0</v>
      </c>
      <c r="CT21" s="45">
        <f t="shared" si="15"/>
        <v>0</v>
      </c>
      <c r="CU21" s="45">
        <f t="shared" si="16"/>
        <v>0</v>
      </c>
      <c r="CV21" s="72">
        <f t="shared" si="17"/>
        <v>-29.216666666666697</v>
      </c>
      <c r="CW21" s="72">
        <f t="shared" si="18"/>
        <v>0</v>
      </c>
      <c r="CX21" s="72">
        <f t="shared" si="19"/>
        <v>0</v>
      </c>
      <c r="CY21" s="72">
        <f t="shared" si="20"/>
        <v>0</v>
      </c>
      <c r="CZ21" s="70">
        <f t="shared" si="21"/>
        <v>0</v>
      </c>
    </row>
    <row r="22" spans="1:104" s="34" customFormat="1" ht="12" customHeight="1">
      <c r="A22" s="31"/>
      <c r="B22" s="31"/>
      <c r="C22" s="31"/>
      <c r="D22" s="108" t="s">
        <v>57</v>
      </c>
      <c r="E22" s="108"/>
      <c r="F22" s="108"/>
      <c r="G22" s="108"/>
      <c r="H22" s="133"/>
      <c r="I22" s="133"/>
      <c r="J22" s="133"/>
      <c r="K22" s="133"/>
      <c r="L22" s="133"/>
      <c r="M22" s="133"/>
      <c r="N22" s="133"/>
      <c r="O22" s="133"/>
      <c r="P22" s="139"/>
      <c r="Q22" s="139"/>
      <c r="R22" s="31"/>
      <c r="S22" s="31"/>
      <c r="T22" s="31"/>
      <c r="U22" s="31"/>
      <c r="V22" s="31"/>
      <c r="W22" s="31"/>
      <c r="X22" s="31"/>
      <c r="Y22" s="31"/>
      <c r="Z22" s="31"/>
      <c r="AA22" s="31"/>
      <c r="AB22" s="31"/>
      <c r="AC22" s="31"/>
      <c r="AD22" s="31"/>
      <c r="AE22" s="31"/>
      <c r="AF22" s="31"/>
      <c r="AG22" s="31"/>
      <c r="AH22" s="31"/>
      <c r="AI22" s="31"/>
      <c r="AJ22" s="31"/>
      <c r="AK22" s="108" t="str">
        <f>$D$21</f>
        <v>Half Dry Coil</v>
      </c>
      <c r="AL22" s="108"/>
      <c r="AM22" s="108"/>
      <c r="AN22" s="108"/>
      <c r="AO22" s="108"/>
      <c r="AP22" s="108"/>
      <c r="AQ22" s="122" t="s">
        <v>102</v>
      </c>
      <c r="AR22" s="122"/>
      <c r="AS22" s="122"/>
      <c r="AT22" s="122"/>
      <c r="AU22" s="122"/>
      <c r="AV22" s="122"/>
      <c r="AW22" s="122"/>
      <c r="AX22" s="122"/>
      <c r="AY22" s="122"/>
      <c r="AZ22" s="122"/>
      <c r="BA22" s="122"/>
      <c r="BB22" s="122"/>
      <c r="BC22" s="74"/>
      <c r="BD22" s="33"/>
      <c r="BE22" s="34" t="s">
        <v>127</v>
      </c>
      <c r="BH22" s="60"/>
      <c r="BI22" s="50"/>
      <c r="BJ22" s="50"/>
      <c r="CA22" s="29"/>
      <c r="CB22" s="63">
        <v>5</v>
      </c>
      <c r="CC22" s="63">
        <f>data!$D26</f>
        <v>19</v>
      </c>
      <c r="CD22" s="63">
        <f>data!$E26</f>
        <v>0</v>
      </c>
      <c r="CE22" s="70">
        <f t="shared" si="0"/>
        <v>0</v>
      </c>
      <c r="CF22" s="71">
        <f t="shared" si="1"/>
        <v>0.75</v>
      </c>
      <c r="CG22" s="71">
        <f t="shared" si="2"/>
        <v>0</v>
      </c>
      <c r="CH22" s="72">
        <f t="shared" si="3"/>
        <v>3652.6234278979196</v>
      </c>
      <c r="CI22" s="72">
        <f t="shared" si="4"/>
        <v>947.03972157666749</v>
      </c>
      <c r="CJ22" s="72">
        <f t="shared" si="5"/>
        <v>947.03972157666749</v>
      </c>
      <c r="CK22" s="70">
        <f t="shared" si="6"/>
        <v>0</v>
      </c>
      <c r="CL22" s="72">
        <f t="shared" si="7"/>
        <v>726.89280000000019</v>
      </c>
      <c r="CM22" s="72">
        <f t="shared" si="8"/>
        <v>-4.9333333333333371</v>
      </c>
      <c r="CN22" s="72">
        <f t="shared" si="9"/>
        <v>-4.9333333333333371</v>
      </c>
      <c r="CO22" s="45">
        <f t="shared" si="10"/>
        <v>5.0249822640944011</v>
      </c>
      <c r="CP22" s="45">
        <f t="shared" si="11"/>
        <v>-191.96751113040543</v>
      </c>
      <c r="CQ22" s="45">
        <f t="shared" si="12"/>
        <v>-191.96751113040543</v>
      </c>
      <c r="CR22" s="45">
        <f t="shared" si="13"/>
        <v>-191.96751113040543</v>
      </c>
      <c r="CS22" s="45">
        <f t="shared" si="14"/>
        <v>0</v>
      </c>
      <c r="CT22" s="45">
        <f t="shared" si="15"/>
        <v>0</v>
      </c>
      <c r="CU22" s="45">
        <f t="shared" si="16"/>
        <v>0</v>
      </c>
      <c r="CV22" s="72">
        <f t="shared" si="17"/>
        <v>-4.9333333333333371</v>
      </c>
      <c r="CW22" s="72">
        <f t="shared" si="18"/>
        <v>0</v>
      </c>
      <c r="CX22" s="72">
        <f t="shared" si="19"/>
        <v>0</v>
      </c>
      <c r="CY22" s="72">
        <f t="shared" si="20"/>
        <v>0</v>
      </c>
      <c r="CZ22" s="70">
        <f t="shared" si="21"/>
        <v>0</v>
      </c>
    </row>
    <row r="23" spans="1:104" s="34" customFormat="1" ht="12" customHeight="1">
      <c r="A23" s="31"/>
      <c r="B23" s="31"/>
      <c r="C23" s="31"/>
      <c r="D23" s="108" t="s">
        <v>54</v>
      </c>
      <c r="E23" s="108"/>
      <c r="F23" s="108"/>
      <c r="G23" s="108"/>
      <c r="H23" s="133"/>
      <c r="I23" s="133"/>
      <c r="J23" s="133"/>
      <c r="K23" s="133"/>
      <c r="L23" s="133"/>
      <c r="M23" s="133"/>
      <c r="N23" s="133"/>
      <c r="O23" s="133"/>
      <c r="P23" s="139"/>
      <c r="Q23" s="139"/>
      <c r="R23" s="31"/>
      <c r="S23" s="31"/>
      <c r="T23" s="31"/>
      <c r="U23" s="31"/>
      <c r="V23" s="31"/>
      <c r="W23" s="31"/>
      <c r="X23" s="31"/>
      <c r="Y23" s="31"/>
      <c r="Z23" s="31"/>
      <c r="AA23" s="31"/>
      <c r="AB23" s="31"/>
      <c r="AC23" s="31"/>
      <c r="AD23" s="31"/>
      <c r="AE23" s="31"/>
      <c r="AF23" s="31"/>
      <c r="AG23" s="31"/>
      <c r="AH23" s="31"/>
      <c r="AI23" s="31"/>
      <c r="AJ23" s="31"/>
      <c r="AK23" s="108" t="str">
        <f>$D$22</f>
        <v>Half Cyclic</v>
      </c>
      <c r="AL23" s="108"/>
      <c r="AM23" s="108"/>
      <c r="AN23" s="108"/>
      <c r="AO23" s="108"/>
      <c r="AP23" s="108"/>
      <c r="AQ23" s="122"/>
      <c r="AR23" s="122"/>
      <c r="AS23" s="122"/>
      <c r="AT23" s="122"/>
      <c r="AU23" s="122"/>
      <c r="AV23" s="122"/>
      <c r="AW23" s="122"/>
      <c r="AX23" s="122"/>
      <c r="AY23" s="122"/>
      <c r="AZ23" s="122"/>
      <c r="BA23" s="122"/>
      <c r="BB23" s="122"/>
      <c r="BC23" s="74"/>
      <c r="BD23" s="33"/>
      <c r="BE23" s="34" t="s">
        <v>127</v>
      </c>
      <c r="BH23" s="60"/>
      <c r="BI23" s="50"/>
      <c r="BJ23" s="50"/>
      <c r="CA23" s="29"/>
      <c r="CB23" s="63">
        <v>6</v>
      </c>
      <c r="CC23" s="63">
        <f>data!$D27</f>
        <v>20</v>
      </c>
      <c r="CD23" s="63">
        <f>data!$E27</f>
        <v>0</v>
      </c>
      <c r="CE23" s="70">
        <f t="shared" si="0"/>
        <v>0</v>
      </c>
      <c r="CF23" s="71">
        <f t="shared" si="1"/>
        <v>0.75</v>
      </c>
      <c r="CG23" s="71">
        <f t="shared" si="2"/>
        <v>0</v>
      </c>
      <c r="CH23" s="72">
        <f t="shared" si="3"/>
        <v>3613.7334937236747</v>
      </c>
      <c r="CI23" s="72">
        <f t="shared" si="4"/>
        <v>987.98663876500075</v>
      </c>
      <c r="CJ23" s="72">
        <f t="shared" si="5"/>
        <v>987.98663876500075</v>
      </c>
      <c r="CK23" s="70">
        <f t="shared" si="6"/>
        <v>0</v>
      </c>
      <c r="CL23" s="72">
        <f t="shared" si="7"/>
        <v>740.41200000000015</v>
      </c>
      <c r="CM23" s="72">
        <f t="shared" si="8"/>
        <v>19.350000000000023</v>
      </c>
      <c r="CN23" s="72">
        <f t="shared" si="9"/>
        <v>19.350000000000023</v>
      </c>
      <c r="CO23" s="45">
        <f t="shared" si="10"/>
        <v>4.8807062739713487</v>
      </c>
      <c r="CP23" s="45">
        <f t="shared" si="11"/>
        <v>51.058741021447005</v>
      </c>
      <c r="CQ23" s="45">
        <f t="shared" si="12"/>
        <v>51.058741021447005</v>
      </c>
      <c r="CR23" s="45">
        <f t="shared" si="13"/>
        <v>51.058741021447005</v>
      </c>
      <c r="CS23" s="45">
        <f t="shared" si="14"/>
        <v>0</v>
      </c>
      <c r="CT23" s="45">
        <f t="shared" si="15"/>
        <v>0</v>
      </c>
      <c r="CU23" s="45">
        <f t="shared" si="16"/>
        <v>0</v>
      </c>
      <c r="CV23" s="72">
        <f t="shared" si="17"/>
        <v>19.350000000000023</v>
      </c>
      <c r="CW23" s="72">
        <f t="shared" si="18"/>
        <v>0</v>
      </c>
      <c r="CX23" s="72">
        <f t="shared" si="19"/>
        <v>0</v>
      </c>
      <c r="CY23" s="72">
        <f t="shared" si="20"/>
        <v>0</v>
      </c>
      <c r="CZ23" s="70">
        <f t="shared" si="21"/>
        <v>0</v>
      </c>
    </row>
    <row r="24" spans="1:104" s="34" customFormat="1" ht="12" customHeight="1">
      <c r="A24" s="31"/>
      <c r="B24" s="31"/>
      <c r="C24" s="31"/>
      <c r="D24" s="108" t="s">
        <v>55</v>
      </c>
      <c r="E24" s="108"/>
      <c r="F24" s="108"/>
      <c r="G24" s="108"/>
      <c r="H24" s="133"/>
      <c r="I24" s="133"/>
      <c r="J24" s="133"/>
      <c r="K24" s="133"/>
      <c r="L24" s="133"/>
      <c r="M24" s="133"/>
      <c r="N24" s="133"/>
      <c r="O24" s="133"/>
      <c r="P24" s="139"/>
      <c r="Q24" s="139"/>
      <c r="R24" s="31"/>
      <c r="S24" s="31"/>
      <c r="T24" s="31"/>
      <c r="U24" s="31"/>
      <c r="V24" s="31"/>
      <c r="W24" s="31"/>
      <c r="X24" s="31"/>
      <c r="Y24" s="31"/>
      <c r="Z24" s="31"/>
      <c r="AA24" s="31"/>
      <c r="AB24" s="31"/>
      <c r="AC24" s="31"/>
      <c r="AD24" s="31"/>
      <c r="AE24" s="31"/>
      <c r="AF24" s="31"/>
      <c r="AG24" s="31"/>
      <c r="AH24" s="31"/>
      <c r="AI24" s="31"/>
      <c r="AJ24" s="31"/>
      <c r="AK24" s="108" t="str">
        <f>$D$23</f>
        <v>Min Dry Coil</v>
      </c>
      <c r="AL24" s="108"/>
      <c r="AM24" s="108"/>
      <c r="AN24" s="108"/>
      <c r="AO24" s="108"/>
      <c r="AP24" s="108"/>
      <c r="AQ24" s="122" t="s">
        <v>102</v>
      </c>
      <c r="AR24" s="122"/>
      <c r="AS24" s="122"/>
      <c r="AT24" s="122"/>
      <c r="AU24" s="122"/>
      <c r="AV24" s="122"/>
      <c r="AW24" s="122"/>
      <c r="AX24" s="122"/>
      <c r="AY24" s="122"/>
      <c r="AZ24" s="122"/>
      <c r="BA24" s="122"/>
      <c r="BB24" s="122"/>
      <c r="BC24" s="74"/>
      <c r="BD24" s="33"/>
      <c r="BE24" s="34" t="s">
        <v>127</v>
      </c>
      <c r="BH24" s="60"/>
      <c r="BI24" s="50"/>
      <c r="BJ24" s="50"/>
      <c r="CA24" s="29"/>
      <c r="CB24" s="63">
        <v>7</v>
      </c>
      <c r="CC24" s="63">
        <f>data!$D28</f>
        <v>21</v>
      </c>
      <c r="CD24" s="63">
        <f>data!$E28</f>
        <v>100</v>
      </c>
      <c r="CE24" s="70">
        <f t="shared" si="0"/>
        <v>202.02563207399999</v>
      </c>
      <c r="CF24" s="71">
        <f t="shared" si="1"/>
        <v>0.79908617055617792</v>
      </c>
      <c r="CG24" s="71">
        <f t="shared" si="2"/>
        <v>0.19634468222471171</v>
      </c>
      <c r="CH24" s="72">
        <f t="shared" si="3"/>
        <v>3574.8435595494293</v>
      </c>
      <c r="CI24" s="72">
        <f t="shared" si="4"/>
        <v>1028.933555953334</v>
      </c>
      <c r="CJ24" s="72">
        <f t="shared" si="5"/>
        <v>1028.933555953334</v>
      </c>
      <c r="CK24" s="70">
        <f t="shared" si="6"/>
        <v>20202.563207399999</v>
      </c>
      <c r="CL24" s="72">
        <f t="shared" si="7"/>
        <v>753.93120000000022</v>
      </c>
      <c r="CM24" s="72">
        <f t="shared" si="8"/>
        <v>43.633333333333326</v>
      </c>
      <c r="CN24" s="72">
        <f t="shared" si="9"/>
        <v>43.633333333333326</v>
      </c>
      <c r="CO24" s="45">
        <f t="shared" si="10"/>
        <v>4.7416044853289376</v>
      </c>
      <c r="CP24" s="45">
        <f t="shared" si="11"/>
        <v>23.581364918716599</v>
      </c>
      <c r="CQ24" s="45">
        <f t="shared" si="12"/>
        <v>23.581364918716599</v>
      </c>
      <c r="CR24" s="45">
        <f t="shared" si="13"/>
        <v>23.581364918716599</v>
      </c>
      <c r="CS24" s="45">
        <f t="shared" si="14"/>
        <v>0</v>
      </c>
      <c r="CT24" s="45">
        <f t="shared" si="15"/>
        <v>0</v>
      </c>
      <c r="CU24" s="45">
        <f t="shared" si="16"/>
        <v>0</v>
      </c>
      <c r="CV24" s="72">
        <f t="shared" si="17"/>
        <v>43.633333333333326</v>
      </c>
      <c r="CW24" s="72">
        <f t="shared" si="18"/>
        <v>0</v>
      </c>
      <c r="CX24" s="72">
        <f t="shared" si="19"/>
        <v>0</v>
      </c>
      <c r="CY24" s="72">
        <f t="shared" si="20"/>
        <v>0</v>
      </c>
      <c r="CZ24" s="70">
        <f t="shared" si="21"/>
        <v>1072.1212909710789</v>
      </c>
    </row>
    <row r="25" spans="1:104"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108" t="str">
        <f>$D$24</f>
        <v>Min Cyclic</v>
      </c>
      <c r="AL25" s="108"/>
      <c r="AM25" s="108"/>
      <c r="AN25" s="108"/>
      <c r="AO25" s="108"/>
      <c r="AP25" s="108"/>
      <c r="AQ25" s="122"/>
      <c r="AR25" s="122"/>
      <c r="AS25" s="122"/>
      <c r="AT25" s="122"/>
      <c r="AU25" s="122"/>
      <c r="AV25" s="122"/>
      <c r="AW25" s="122"/>
      <c r="AX25" s="122"/>
      <c r="AY25" s="122"/>
      <c r="AZ25" s="122"/>
      <c r="BA25" s="122"/>
      <c r="BB25" s="122"/>
      <c r="BC25" s="74"/>
      <c r="BD25" s="33"/>
      <c r="BE25" s="34" t="s">
        <v>127</v>
      </c>
      <c r="BH25" s="60"/>
      <c r="BI25" s="50"/>
      <c r="BJ25" s="50"/>
      <c r="CA25" s="29"/>
      <c r="CB25" s="63">
        <v>8</v>
      </c>
      <c r="CC25" s="63">
        <f>data!$D29</f>
        <v>22</v>
      </c>
      <c r="CD25" s="63">
        <f>data!$E29</f>
        <v>139</v>
      </c>
      <c r="CE25" s="70">
        <f t="shared" si="0"/>
        <v>404.05126414799997</v>
      </c>
      <c r="CF25" s="71">
        <f t="shared" si="1"/>
        <v>0.84441504782340715</v>
      </c>
      <c r="CG25" s="71">
        <f t="shared" si="2"/>
        <v>0.37766019129362866</v>
      </c>
      <c r="CH25" s="72">
        <f t="shared" si="3"/>
        <v>3535.9536253751844</v>
      </c>
      <c r="CI25" s="72">
        <f t="shared" si="4"/>
        <v>1069.8804731416672</v>
      </c>
      <c r="CJ25" s="72">
        <f t="shared" si="5"/>
        <v>1069.8804731416672</v>
      </c>
      <c r="CK25" s="70">
        <f t="shared" si="6"/>
        <v>56163.125716571994</v>
      </c>
      <c r="CL25" s="72">
        <f t="shared" si="7"/>
        <v>767.45040000000017</v>
      </c>
      <c r="CM25" s="72">
        <f t="shared" si="8"/>
        <v>67.916666666666686</v>
      </c>
      <c r="CN25" s="72">
        <f t="shared" si="9"/>
        <v>67.916666666666686</v>
      </c>
      <c r="CO25" s="45">
        <f t="shared" si="10"/>
        <v>4.6074034561389032</v>
      </c>
      <c r="CP25" s="45">
        <f t="shared" si="11"/>
        <v>15.752841322331291</v>
      </c>
      <c r="CQ25" s="45">
        <f t="shared" si="12"/>
        <v>15.752841322331291</v>
      </c>
      <c r="CR25" s="45">
        <f t="shared" si="13"/>
        <v>15.752841322331291</v>
      </c>
      <c r="CS25" s="45">
        <f t="shared" si="14"/>
        <v>0</v>
      </c>
      <c r="CT25" s="45">
        <f t="shared" si="15"/>
        <v>0</v>
      </c>
      <c r="CU25" s="45">
        <f t="shared" si="16"/>
        <v>0</v>
      </c>
      <c r="CV25" s="72">
        <f t="shared" si="17"/>
        <v>67.916666666666686</v>
      </c>
      <c r="CW25" s="72">
        <f t="shared" si="18"/>
        <v>0</v>
      </c>
      <c r="CX25" s="72">
        <f t="shared" si="19"/>
        <v>0</v>
      </c>
      <c r="CY25" s="72">
        <f t="shared" si="20"/>
        <v>0</v>
      </c>
      <c r="CZ25" s="70">
        <f t="shared" si="21"/>
        <v>4222.1767286299009</v>
      </c>
    </row>
    <row r="26" spans="1:104" s="34" customFormat="1" ht="12" customHeight="1">
      <c r="A26" s="31"/>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4" t="s">
        <v>127</v>
      </c>
      <c r="CA26" s="29"/>
      <c r="CB26" s="63">
        <v>9</v>
      </c>
      <c r="CC26" s="63">
        <f>data!$D30</f>
        <v>23</v>
      </c>
      <c r="CD26" s="63">
        <f>data!$E30</f>
        <v>165</v>
      </c>
      <c r="CE26" s="70">
        <f t="shared" si="0"/>
        <v>606.07689622200007</v>
      </c>
      <c r="CF26" s="71">
        <f t="shared" si="1"/>
        <v>0.8864021317573807</v>
      </c>
      <c r="CG26" s="71">
        <f t="shared" si="2"/>
        <v>0.54560852702952256</v>
      </c>
      <c r="CH26" s="72">
        <f t="shared" si="3"/>
        <v>3497.0636912009395</v>
      </c>
      <c r="CI26" s="72">
        <f t="shared" si="4"/>
        <v>1110.8273903300005</v>
      </c>
      <c r="CJ26" s="72">
        <f t="shared" si="5"/>
        <v>1110.8273903300005</v>
      </c>
      <c r="CK26" s="70">
        <f t="shared" si="6"/>
        <v>100002.68787663001</v>
      </c>
      <c r="CL26" s="72">
        <f t="shared" si="7"/>
        <v>780.96960000000013</v>
      </c>
      <c r="CM26" s="72">
        <f t="shared" si="8"/>
        <v>92.199999999999989</v>
      </c>
      <c r="CN26" s="72">
        <f t="shared" si="9"/>
        <v>92.199999999999989</v>
      </c>
      <c r="CO26" s="45">
        <f t="shared" si="10"/>
        <v>4.4778486783620499</v>
      </c>
      <c r="CP26" s="45">
        <f t="shared" si="11"/>
        <v>12.048019417895885</v>
      </c>
      <c r="CQ26" s="45">
        <f t="shared" si="12"/>
        <v>12.048019417895885</v>
      </c>
      <c r="CR26" s="45">
        <f t="shared" si="13"/>
        <v>12.048019417895885</v>
      </c>
      <c r="CS26" s="45">
        <f t="shared" si="14"/>
        <v>0</v>
      </c>
      <c r="CT26" s="45">
        <f t="shared" si="15"/>
        <v>0</v>
      </c>
      <c r="CU26" s="45">
        <f t="shared" si="16"/>
        <v>0</v>
      </c>
      <c r="CV26" s="72">
        <f t="shared" si="17"/>
        <v>92.199999999999989</v>
      </c>
      <c r="CW26" s="72">
        <f t="shared" si="18"/>
        <v>0</v>
      </c>
      <c r="CX26" s="72">
        <f t="shared" si="19"/>
        <v>0</v>
      </c>
      <c r="CY26" s="72">
        <f t="shared" si="20"/>
        <v>0</v>
      </c>
      <c r="CZ26" s="70">
        <f t="shared" si="21"/>
        <v>9364.0823101856367</v>
      </c>
    </row>
    <row r="27" spans="1:104" s="34" customFormat="1" ht="12" customHeight="1">
      <c r="A27" s="31"/>
      <c r="B27" s="31"/>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2"/>
      <c r="BB27" s="32"/>
      <c r="BC27" s="33"/>
      <c r="BD27" s="33"/>
      <c r="BE27" s="34" t="s">
        <v>127</v>
      </c>
      <c r="CA27" s="29"/>
      <c r="CB27" s="63">
        <v>10</v>
      </c>
      <c r="CC27" s="63">
        <f>data!$D31</f>
        <v>24</v>
      </c>
      <c r="CD27" s="63">
        <f>data!$E31</f>
        <v>196</v>
      </c>
      <c r="CE27" s="70">
        <f t="shared" si="0"/>
        <v>808.10252829599995</v>
      </c>
      <c r="CF27" s="71">
        <f t="shared" si="1"/>
        <v>0.92540383628568146</v>
      </c>
      <c r="CG27" s="71">
        <f t="shared" si="2"/>
        <v>0.70161534514272594</v>
      </c>
      <c r="CH27" s="72">
        <f t="shared" si="3"/>
        <v>3458.1737570266946</v>
      </c>
      <c r="CI27" s="72">
        <f t="shared" si="4"/>
        <v>1151.7743075183339</v>
      </c>
      <c r="CJ27" s="72">
        <f t="shared" si="5"/>
        <v>1151.7743075183339</v>
      </c>
      <c r="CK27" s="70">
        <f t="shared" si="6"/>
        <v>158388.095546016</v>
      </c>
      <c r="CL27" s="72">
        <f t="shared" si="7"/>
        <v>794.48880000000008</v>
      </c>
      <c r="CM27" s="72">
        <f t="shared" si="8"/>
        <v>116.48333333333335</v>
      </c>
      <c r="CN27" s="72">
        <f t="shared" si="9"/>
        <v>116.48333333333335</v>
      </c>
      <c r="CO27" s="45">
        <f t="shared" si="10"/>
        <v>4.3527029670231903</v>
      </c>
      <c r="CP27" s="45">
        <f t="shared" si="11"/>
        <v>9.8878893190871402</v>
      </c>
      <c r="CQ27" s="45">
        <f t="shared" si="12"/>
        <v>9.8878893190871402</v>
      </c>
      <c r="CR27" s="45">
        <f t="shared" si="13"/>
        <v>9.8878893190871402</v>
      </c>
      <c r="CS27" s="45">
        <f t="shared" si="14"/>
        <v>0</v>
      </c>
      <c r="CT27" s="45">
        <f t="shared" si="15"/>
        <v>0</v>
      </c>
      <c r="CU27" s="45">
        <f t="shared" si="16"/>
        <v>0</v>
      </c>
      <c r="CV27" s="72">
        <f t="shared" si="17"/>
        <v>116.48333333333335</v>
      </c>
      <c r="CW27" s="72">
        <f t="shared" si="18"/>
        <v>0</v>
      </c>
      <c r="CX27" s="72">
        <f t="shared" si="19"/>
        <v>0</v>
      </c>
      <c r="CY27" s="72">
        <f t="shared" si="20"/>
        <v>0</v>
      </c>
      <c r="CZ27" s="70">
        <f t="shared" si="21"/>
        <v>17309.624424966365</v>
      </c>
    </row>
    <row r="28" spans="1:104"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2"/>
      <c r="BB28" s="32"/>
      <c r="BC28" s="33"/>
      <c r="BD28" s="33"/>
      <c r="BE28" s="34" t="s">
        <v>127</v>
      </c>
      <c r="CA28" s="29"/>
      <c r="CB28" s="63">
        <v>11</v>
      </c>
      <c r="CC28" s="63">
        <f>data!$D32</f>
        <v>25</v>
      </c>
      <c r="CD28" s="63">
        <f>data!$E32</f>
        <v>210</v>
      </c>
      <c r="CE28" s="70">
        <f t="shared" si="0"/>
        <v>1010.1281603699998</v>
      </c>
      <c r="CF28" s="71">
        <f t="shared" si="1"/>
        <v>0.96172763162205543</v>
      </c>
      <c r="CG28" s="71">
        <f t="shared" si="2"/>
        <v>0.84691052648822163</v>
      </c>
      <c r="CH28" s="72">
        <f t="shared" si="3"/>
        <v>3419.2838228524497</v>
      </c>
      <c r="CI28" s="72">
        <f t="shared" si="4"/>
        <v>1192.721224706667</v>
      </c>
      <c r="CJ28" s="72">
        <f t="shared" si="5"/>
        <v>1192.721224706667</v>
      </c>
      <c r="CK28" s="70">
        <f t="shared" si="6"/>
        <v>212126.91367769995</v>
      </c>
      <c r="CL28" s="72">
        <f t="shared" si="7"/>
        <v>808.00800000000015</v>
      </c>
      <c r="CM28" s="72">
        <f t="shared" si="8"/>
        <v>140.76666666666668</v>
      </c>
      <c r="CN28" s="72">
        <f t="shared" si="9"/>
        <v>140.76666666666668</v>
      </c>
      <c r="CO28" s="45">
        <f t="shared" si="10"/>
        <v>4.2317450110053976</v>
      </c>
      <c r="CP28" s="45">
        <f t="shared" si="11"/>
        <v>8.4730373528771032</v>
      </c>
      <c r="CQ28" s="45">
        <f t="shared" si="12"/>
        <v>8.4730373528771032</v>
      </c>
      <c r="CR28" s="45">
        <f t="shared" si="13"/>
        <v>8.4730373528771032</v>
      </c>
      <c r="CS28" s="45">
        <f t="shared" si="14"/>
        <v>0</v>
      </c>
      <c r="CT28" s="45">
        <f t="shared" si="15"/>
        <v>0</v>
      </c>
      <c r="CU28" s="45">
        <f t="shared" si="16"/>
        <v>0</v>
      </c>
      <c r="CV28" s="72">
        <f t="shared" si="17"/>
        <v>140.76666666666668</v>
      </c>
      <c r="CW28" s="72">
        <f t="shared" si="18"/>
        <v>0</v>
      </c>
      <c r="CX28" s="72">
        <f t="shared" si="19"/>
        <v>0</v>
      </c>
      <c r="CY28" s="72">
        <f t="shared" si="20"/>
        <v>0</v>
      </c>
      <c r="CZ28" s="70">
        <f t="shared" si="21"/>
        <v>26031.821536928564</v>
      </c>
    </row>
    <row r="29" spans="1:104" s="34" customFormat="1" ht="12" customHeight="1">
      <c r="A29" s="31"/>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2"/>
      <c r="AO29" s="32"/>
      <c r="AP29" s="32"/>
      <c r="AQ29" s="31"/>
      <c r="AR29" s="31"/>
      <c r="AS29" s="31"/>
      <c r="AT29" s="31"/>
      <c r="AU29" s="31"/>
      <c r="AV29" s="31"/>
      <c r="AW29" s="31"/>
      <c r="AX29" s="31"/>
      <c r="AY29" s="31"/>
      <c r="AZ29" s="31"/>
      <c r="BA29" s="32"/>
      <c r="BB29" s="32"/>
      <c r="BC29" s="33"/>
      <c r="BD29" s="33"/>
      <c r="BE29" s="34" t="s">
        <v>127</v>
      </c>
      <c r="CA29" s="29"/>
      <c r="CB29" s="63">
        <v>12</v>
      </c>
      <c r="CC29" s="63">
        <f>data!$D33</f>
        <v>26</v>
      </c>
      <c r="CD29" s="63">
        <f>data!$E33</f>
        <v>215</v>
      </c>
      <c r="CE29" s="70">
        <f t="shared" si="0"/>
        <v>1212.1537924440001</v>
      </c>
      <c r="CF29" s="71">
        <f t="shared" si="1"/>
        <v>0.99564016676763001</v>
      </c>
      <c r="CG29" s="71">
        <f t="shared" si="2"/>
        <v>0.98256066707051992</v>
      </c>
      <c r="CH29" s="72">
        <f t="shared" si="3"/>
        <v>3380.3938886782043</v>
      </c>
      <c r="CI29" s="72">
        <f t="shared" si="4"/>
        <v>1233.6681418950002</v>
      </c>
      <c r="CJ29" s="72">
        <f t="shared" si="5"/>
        <v>1233.6681418950002</v>
      </c>
      <c r="CK29" s="70">
        <f t="shared" si="6"/>
        <v>260613.06537546002</v>
      </c>
      <c r="CL29" s="72">
        <f t="shared" si="7"/>
        <v>821.52720000000011</v>
      </c>
      <c r="CM29" s="72">
        <f t="shared" si="8"/>
        <v>165.05</v>
      </c>
      <c r="CN29" s="72">
        <f t="shared" si="9"/>
        <v>165.05</v>
      </c>
      <c r="CO29" s="45">
        <f t="shared" si="10"/>
        <v>4.1147680669346114</v>
      </c>
      <c r="CP29" s="45">
        <f t="shared" si="11"/>
        <v>7.4745116140260537</v>
      </c>
      <c r="CQ29" s="45">
        <f t="shared" si="12"/>
        <v>7.4745116140260537</v>
      </c>
      <c r="CR29" s="45">
        <f t="shared" si="13"/>
        <v>7.4745116140260537</v>
      </c>
      <c r="CS29" s="45">
        <f t="shared" si="14"/>
        <v>0</v>
      </c>
      <c r="CT29" s="45">
        <f t="shared" si="15"/>
        <v>0</v>
      </c>
      <c r="CU29" s="45">
        <f t="shared" si="16"/>
        <v>0</v>
      </c>
      <c r="CV29" s="72">
        <f t="shared" si="17"/>
        <v>165.05</v>
      </c>
      <c r="CW29" s="72">
        <f t="shared" si="18"/>
        <v>0</v>
      </c>
      <c r="CX29" s="72">
        <f t="shared" si="19"/>
        <v>0</v>
      </c>
      <c r="CY29" s="72">
        <f t="shared" si="20"/>
        <v>0</v>
      </c>
      <c r="CZ29" s="70">
        <f t="shared" si="21"/>
        <v>35019.58172769782</v>
      </c>
    </row>
    <row r="30" spans="1:104" s="34" customFormat="1" ht="12" customHeight="1">
      <c r="A30" s="31"/>
      <c r="B30" s="31"/>
      <c r="C30" s="48" t="str">
        <f>$C$6</f>
        <v>　</v>
      </c>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2"/>
      <c r="AO30" s="31"/>
      <c r="AP30" s="32"/>
      <c r="AQ30" s="31"/>
      <c r="AR30" s="31"/>
      <c r="AS30" s="31"/>
      <c r="AT30" s="31"/>
      <c r="AU30" s="31"/>
      <c r="AV30" s="31"/>
      <c r="AW30" s="31"/>
      <c r="AX30" s="31"/>
      <c r="AY30" s="31"/>
      <c r="AZ30" s="31"/>
      <c r="BA30" s="32"/>
      <c r="BB30" s="32"/>
      <c r="BC30" s="33"/>
      <c r="BD30" s="33"/>
      <c r="BE30" s="34" t="s">
        <v>127</v>
      </c>
      <c r="CA30" s="29"/>
      <c r="CB30" s="63">
        <v>13</v>
      </c>
      <c r="CC30" s="63">
        <f>data!$D34</f>
        <v>27</v>
      </c>
      <c r="CD30" s="63">
        <f>data!$E34</f>
        <v>210</v>
      </c>
      <c r="CE30" s="70">
        <f t="shared" si="0"/>
        <v>1414.1794245179999</v>
      </c>
      <c r="CF30" s="71">
        <f t="shared" si="1"/>
        <v>1</v>
      </c>
      <c r="CG30" s="71">
        <f t="shared" si="2"/>
        <v>1</v>
      </c>
      <c r="CH30" s="72">
        <f t="shared" si="3"/>
        <v>3341.5039545039594</v>
      </c>
      <c r="CI30" s="72">
        <f t="shared" si="4"/>
        <v>1274.6150590833336</v>
      </c>
      <c r="CJ30" s="72">
        <f t="shared" si="5"/>
        <v>1274.6150590833336</v>
      </c>
      <c r="CK30" s="70">
        <f t="shared" si="6"/>
        <v>296977.67914878001</v>
      </c>
      <c r="CL30" s="72">
        <f t="shared" si="7"/>
        <v>835.04640000000006</v>
      </c>
      <c r="CM30" s="72">
        <f t="shared" si="8"/>
        <v>189.33333333333334</v>
      </c>
      <c r="CN30" s="72">
        <f t="shared" si="9"/>
        <v>189.33333333333334</v>
      </c>
      <c r="CO30" s="45">
        <f t="shared" si="10"/>
        <v>4.0015787799384075</v>
      </c>
      <c r="CP30" s="45">
        <f t="shared" si="11"/>
        <v>6.7321217909330997</v>
      </c>
      <c r="CQ30" s="45">
        <f t="shared" si="12"/>
        <v>6.7321217909330997</v>
      </c>
      <c r="CR30" s="45">
        <f t="shared" si="13"/>
        <v>0</v>
      </c>
      <c r="CS30" s="45">
        <f t="shared" si="14"/>
        <v>0</v>
      </c>
      <c r="CT30" s="45">
        <f t="shared" si="15"/>
        <v>6.9574087240851634</v>
      </c>
      <c r="CU30" s="45">
        <f t="shared" si="16"/>
        <v>0</v>
      </c>
      <c r="CV30" s="72">
        <f t="shared" si="17"/>
        <v>0</v>
      </c>
      <c r="CW30" s="72">
        <f t="shared" si="18"/>
        <v>0</v>
      </c>
      <c r="CX30" s="72">
        <f t="shared" si="19"/>
        <v>203.26237549080483</v>
      </c>
      <c r="CY30" s="72">
        <f t="shared" si="20"/>
        <v>0</v>
      </c>
      <c r="CZ30" s="70">
        <f t="shared" si="21"/>
        <v>42685.098853069016</v>
      </c>
    </row>
    <row r="31" spans="1:104" s="34" customFormat="1" ht="12" customHeight="1">
      <c r="A31" s="31"/>
      <c r="B31" s="31"/>
      <c r="C31" s="31"/>
      <c r="D31" s="31" t="s">
        <v>92</v>
      </c>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48" t="str">
        <f>$AI$6</f>
        <v>Select test item</v>
      </c>
      <c r="AJ31" s="31"/>
      <c r="AK31" s="31"/>
      <c r="AL31" s="31"/>
      <c r="AM31" s="31"/>
      <c r="AN31" s="31"/>
      <c r="AO31" s="31"/>
      <c r="AP31" s="32"/>
      <c r="AQ31" s="31"/>
      <c r="AR31" s="31"/>
      <c r="AS31" s="31"/>
      <c r="AT31" s="31"/>
      <c r="AU31" s="31"/>
      <c r="AV31" s="31"/>
      <c r="AW31" s="31"/>
      <c r="AX31" s="31"/>
      <c r="AY31" s="31"/>
      <c r="AZ31" s="31"/>
      <c r="BA31" s="32"/>
      <c r="BB31" s="32"/>
      <c r="BC31" s="33"/>
      <c r="BD31" s="33"/>
      <c r="BE31" s="34" t="s">
        <v>127</v>
      </c>
      <c r="BI31" s="49"/>
      <c r="BJ31" s="50"/>
      <c r="BK31" s="50"/>
      <c r="BL31" s="50"/>
      <c r="BM31" s="50"/>
      <c r="BN31" s="50"/>
      <c r="BO31" s="50"/>
      <c r="CA31" s="29"/>
      <c r="CB31" s="63">
        <v>14</v>
      </c>
      <c r="CC31" s="63">
        <f>data!$D35</f>
        <v>28</v>
      </c>
      <c r="CD31" s="63">
        <f>data!$E35</f>
        <v>181</v>
      </c>
      <c r="CE31" s="70">
        <f t="shared" si="0"/>
        <v>1616.2050565919999</v>
      </c>
      <c r="CF31" s="71">
        <f t="shared" si="1"/>
        <v>1</v>
      </c>
      <c r="CG31" s="71">
        <f t="shared" si="2"/>
        <v>1</v>
      </c>
      <c r="CH31" s="72">
        <f t="shared" si="3"/>
        <v>3302.6140203297145</v>
      </c>
      <c r="CI31" s="72">
        <f t="shared" si="4"/>
        <v>1315.5619762716669</v>
      </c>
      <c r="CJ31" s="72">
        <f t="shared" si="5"/>
        <v>1315.5619762716669</v>
      </c>
      <c r="CK31" s="70">
        <f t="shared" si="6"/>
        <v>292533.11524315196</v>
      </c>
      <c r="CL31" s="72">
        <f t="shared" si="7"/>
        <v>848.56560000000013</v>
      </c>
      <c r="CM31" s="72">
        <f t="shared" si="8"/>
        <v>213.61666666666667</v>
      </c>
      <c r="CN31" s="72">
        <f t="shared" si="9"/>
        <v>213.61666666666667</v>
      </c>
      <c r="CO31" s="45">
        <f t="shared" si="10"/>
        <v>3.8919961171295583</v>
      </c>
      <c r="CP31" s="45">
        <f t="shared" si="11"/>
        <v>6.1585174827416722</v>
      </c>
      <c r="CQ31" s="45">
        <f t="shared" si="12"/>
        <v>6.1585174827416722</v>
      </c>
      <c r="CR31" s="45">
        <f t="shared" si="13"/>
        <v>0</v>
      </c>
      <c r="CS31" s="45">
        <f t="shared" si="14"/>
        <v>0</v>
      </c>
      <c r="CT31" s="45">
        <f t="shared" si="15"/>
        <v>6.4893421120931247</v>
      </c>
      <c r="CU31" s="45">
        <f t="shared" si="16"/>
        <v>0</v>
      </c>
      <c r="CV31" s="72">
        <f t="shared" si="17"/>
        <v>0</v>
      </c>
      <c r="CW31" s="72">
        <f t="shared" si="18"/>
        <v>0</v>
      </c>
      <c r="CX31" s="72">
        <f t="shared" si="19"/>
        <v>249.05530155054441</v>
      </c>
      <c r="CY31" s="72">
        <f t="shared" si="20"/>
        <v>0</v>
      </c>
      <c r="CZ31" s="70">
        <f t="shared" si="21"/>
        <v>45079.009580648541</v>
      </c>
    </row>
    <row r="32" spans="1:104" s="34" customFormat="1" ht="12" customHeight="1">
      <c r="A32" s="31"/>
      <c r="B32" s="31"/>
      <c r="C32" s="31"/>
      <c r="D32" s="31"/>
      <c r="E32" s="31"/>
      <c r="F32" s="31"/>
      <c r="G32" s="31"/>
      <c r="H32" s="132" t="str">
        <f>$H$8</f>
        <v>Capacity [W]</v>
      </c>
      <c r="I32" s="132"/>
      <c r="J32" s="132"/>
      <c r="K32" s="132"/>
      <c r="L32" s="132" t="str">
        <f>$L$8</f>
        <v>Power [W]</v>
      </c>
      <c r="M32" s="132"/>
      <c r="N32" s="132"/>
      <c r="O32" s="132"/>
      <c r="P32" s="103" t="str">
        <f>$P$8</f>
        <v>EER</v>
      </c>
      <c r="Q32" s="104"/>
      <c r="R32" s="31"/>
      <c r="S32" s="31"/>
      <c r="T32" s="31"/>
      <c r="U32" s="31"/>
      <c r="V32" s="31"/>
      <c r="W32" s="31"/>
      <c r="X32" s="31"/>
      <c r="Y32" s="31"/>
      <c r="Z32" s="31"/>
      <c r="AA32" s="31"/>
      <c r="AB32" s="31"/>
      <c r="AC32" s="31"/>
      <c r="AD32" s="31"/>
      <c r="AE32" s="31"/>
      <c r="AF32" s="31"/>
      <c r="AG32" s="31"/>
      <c r="AH32" s="31"/>
      <c r="AI32" s="31"/>
      <c r="AJ32" s="31"/>
      <c r="AK32" s="108" t="str">
        <f>$AK$7</f>
        <v>Test</v>
      </c>
      <c r="AL32" s="108"/>
      <c r="AM32" s="108"/>
      <c r="AN32" s="108"/>
      <c r="AO32" s="108"/>
      <c r="AP32" s="108"/>
      <c r="AQ32" s="54"/>
      <c r="AR32" s="55" t="str">
        <f>$AR$7</f>
        <v>Required test only</v>
      </c>
      <c r="AS32" s="55"/>
      <c r="AT32" s="55"/>
      <c r="AU32" s="55"/>
      <c r="AV32" s="56"/>
      <c r="AW32" s="57"/>
      <c r="AX32" s="58" t="str">
        <f>$AX$7</f>
        <v>With Optional test</v>
      </c>
      <c r="AY32" s="58"/>
      <c r="AZ32" s="58"/>
      <c r="BA32" s="58"/>
      <c r="BB32" s="59"/>
      <c r="BC32" s="81">
        <v>1</v>
      </c>
      <c r="BD32" s="33" t="str">
        <f>IF($BC$32=2,"Optional test","Required test")</f>
        <v>Required test</v>
      </c>
      <c r="BE32" s="34" t="s">
        <v>127</v>
      </c>
      <c r="BF32" s="60"/>
      <c r="BI32" s="50"/>
      <c r="BJ32" s="50"/>
      <c r="CA32" s="29"/>
      <c r="CB32" s="63">
        <v>15</v>
      </c>
      <c r="CC32" s="63">
        <f>data!$D36</f>
        <v>29</v>
      </c>
      <c r="CD32" s="63">
        <f>data!$E36</f>
        <v>150</v>
      </c>
      <c r="CE32" s="70">
        <f t="shared" si="0"/>
        <v>1818.2306886659999</v>
      </c>
      <c r="CF32" s="71">
        <f t="shared" si="1"/>
        <v>1</v>
      </c>
      <c r="CG32" s="71">
        <f t="shared" si="2"/>
        <v>1</v>
      </c>
      <c r="CH32" s="72">
        <f t="shared" si="3"/>
        <v>3263.7240861554696</v>
      </c>
      <c r="CI32" s="72">
        <f t="shared" si="4"/>
        <v>1356.5088934600001</v>
      </c>
      <c r="CJ32" s="72">
        <f t="shared" si="5"/>
        <v>1356.5088934600001</v>
      </c>
      <c r="CK32" s="70">
        <f t="shared" si="6"/>
        <v>272734.60329989996</v>
      </c>
      <c r="CL32" s="72">
        <f t="shared" si="7"/>
        <v>862.08480000000009</v>
      </c>
      <c r="CM32" s="72">
        <f t="shared" si="8"/>
        <v>237.9</v>
      </c>
      <c r="CN32" s="72">
        <f t="shared" si="9"/>
        <v>237.9</v>
      </c>
      <c r="CO32" s="45">
        <f t="shared" si="10"/>
        <v>3.7858504014401708</v>
      </c>
      <c r="CP32" s="45">
        <f t="shared" si="11"/>
        <v>5.7020130031946197</v>
      </c>
      <c r="CQ32" s="45">
        <f t="shared" si="12"/>
        <v>5.7020130031946197</v>
      </c>
      <c r="CR32" s="45">
        <f t="shared" si="13"/>
        <v>0</v>
      </c>
      <c r="CS32" s="45">
        <f t="shared" si="14"/>
        <v>0</v>
      </c>
      <c r="CT32" s="45">
        <f t="shared" si="15"/>
        <v>6.021275500101086</v>
      </c>
      <c r="CU32" s="45">
        <f t="shared" si="16"/>
        <v>0</v>
      </c>
      <c r="CV32" s="72">
        <f t="shared" si="17"/>
        <v>0</v>
      </c>
      <c r="CW32" s="72">
        <f t="shared" si="18"/>
        <v>0</v>
      </c>
      <c r="CX32" s="72">
        <f t="shared" si="19"/>
        <v>301.96769582050769</v>
      </c>
      <c r="CY32" s="72">
        <f t="shared" si="20"/>
        <v>0</v>
      </c>
      <c r="CZ32" s="70">
        <f t="shared" si="21"/>
        <v>45295.154373076155</v>
      </c>
    </row>
    <row r="33" spans="1:104" s="34" customFormat="1" ht="12" customHeight="1">
      <c r="A33" s="31"/>
      <c r="B33" s="31"/>
      <c r="C33" s="31"/>
      <c r="D33" s="123" t="str">
        <f>$D$9</f>
        <v>Full</v>
      </c>
      <c r="E33" s="124"/>
      <c r="F33" s="124"/>
      <c r="G33" s="125"/>
      <c r="H33" s="134">
        <v>4800</v>
      </c>
      <c r="I33" s="134"/>
      <c r="J33" s="134"/>
      <c r="K33" s="134"/>
      <c r="L33" s="134">
        <v>1850</v>
      </c>
      <c r="M33" s="134"/>
      <c r="N33" s="134"/>
      <c r="O33" s="134"/>
      <c r="P33" s="111">
        <f>$H$33/$L$33</f>
        <v>2.5945945945945947</v>
      </c>
      <c r="Q33" s="111"/>
      <c r="R33" s="31"/>
      <c r="S33" s="31"/>
      <c r="T33" s="31"/>
      <c r="U33" s="31"/>
      <c r="V33" s="31"/>
      <c r="W33" s="31"/>
      <c r="X33" s="31"/>
      <c r="Y33" s="31"/>
      <c r="Z33" s="31"/>
      <c r="AA33" s="31"/>
      <c r="AB33" s="31"/>
      <c r="AC33" s="31"/>
      <c r="AD33" s="31"/>
      <c r="AE33" s="31"/>
      <c r="AF33" s="31"/>
      <c r="AG33" s="31"/>
      <c r="AH33" s="31"/>
      <c r="AI33" s="31" t="str">
        <f>$AI$8</f>
        <v>Measurement point</v>
      </c>
      <c r="AJ33" s="31"/>
      <c r="AK33" s="31"/>
      <c r="AL33" s="31"/>
      <c r="AM33" s="31"/>
      <c r="AN33" s="31"/>
      <c r="AO33" s="31"/>
      <c r="AP33" s="31"/>
      <c r="AQ33" s="31"/>
      <c r="AR33" s="31"/>
      <c r="AS33" s="31"/>
      <c r="AT33" s="31"/>
      <c r="AU33" s="31"/>
      <c r="AV33" s="31"/>
      <c r="AW33" s="31"/>
      <c r="AX33" s="31"/>
      <c r="AY33" s="31"/>
      <c r="AZ33" s="31"/>
      <c r="BA33" s="32"/>
      <c r="BB33" s="32"/>
      <c r="BC33" s="33"/>
      <c r="BD33" s="33"/>
      <c r="BE33" s="34" t="s">
        <v>127</v>
      </c>
      <c r="BF33" s="60"/>
      <c r="BI33" s="50"/>
      <c r="BJ33" s="50"/>
      <c r="BK33" s="50"/>
      <c r="BL33" s="50"/>
      <c r="BM33" s="50"/>
      <c r="BN33" s="50"/>
      <c r="BO33" s="50"/>
      <c r="BP33" s="50"/>
      <c r="CA33" s="29"/>
      <c r="CB33" s="63">
        <v>16</v>
      </c>
      <c r="CC33" s="63">
        <f>data!$D37</f>
        <v>30</v>
      </c>
      <c r="CD33" s="63">
        <f>data!$E37</f>
        <v>120</v>
      </c>
      <c r="CE33" s="70">
        <f t="shared" si="0"/>
        <v>2020.2563207399996</v>
      </c>
      <c r="CF33" s="71">
        <f t="shared" si="1"/>
        <v>1</v>
      </c>
      <c r="CG33" s="71">
        <f t="shared" si="2"/>
        <v>1</v>
      </c>
      <c r="CH33" s="72">
        <f t="shared" si="3"/>
        <v>3224.8341519812247</v>
      </c>
      <c r="CI33" s="72">
        <f t="shared" si="4"/>
        <v>1397.4558106483332</v>
      </c>
      <c r="CJ33" s="72">
        <f t="shared" si="5"/>
        <v>1397.4558106483332</v>
      </c>
      <c r="CK33" s="70">
        <f t="shared" si="6"/>
        <v>242430.75848879997</v>
      </c>
      <c r="CL33" s="72">
        <f t="shared" si="7"/>
        <v>875.60400000000004</v>
      </c>
      <c r="CM33" s="72">
        <f t="shared" si="8"/>
        <v>262.18333333333334</v>
      </c>
      <c r="CN33" s="72">
        <f t="shared" si="9"/>
        <v>262.18333333333334</v>
      </c>
      <c r="CO33" s="45">
        <f t="shared" si="10"/>
        <v>3.6829824349605809</v>
      </c>
      <c r="CP33" s="45">
        <f t="shared" si="11"/>
        <v>5.3300711104761298</v>
      </c>
      <c r="CQ33" s="45">
        <f t="shared" si="12"/>
        <v>5.3300711104761298</v>
      </c>
      <c r="CR33" s="45">
        <f t="shared" si="13"/>
        <v>0</v>
      </c>
      <c r="CS33" s="45">
        <f t="shared" si="14"/>
        <v>0</v>
      </c>
      <c r="CT33" s="45">
        <f t="shared" si="15"/>
        <v>5.5532088881090473</v>
      </c>
      <c r="CU33" s="45">
        <f t="shared" si="16"/>
        <v>0</v>
      </c>
      <c r="CV33" s="72">
        <f t="shared" si="17"/>
        <v>0</v>
      </c>
      <c r="CW33" s="72">
        <f t="shared" si="18"/>
        <v>0</v>
      </c>
      <c r="CX33" s="72">
        <f t="shared" si="19"/>
        <v>363.79980682266893</v>
      </c>
      <c r="CY33" s="72">
        <f t="shared" si="20"/>
        <v>0</v>
      </c>
      <c r="CZ33" s="70">
        <f t="shared" si="21"/>
        <v>43655.976818720272</v>
      </c>
    </row>
    <row r="34" spans="1:104" s="34" customFormat="1" ht="12" customHeight="1">
      <c r="A34" s="31"/>
      <c r="B34" s="31"/>
      <c r="C34" s="31"/>
      <c r="D34" s="123" t="str">
        <f>$D$10</f>
        <v>Half</v>
      </c>
      <c r="E34" s="124"/>
      <c r="F34" s="124"/>
      <c r="G34" s="125"/>
      <c r="H34" s="127">
        <v>2300</v>
      </c>
      <c r="I34" s="127"/>
      <c r="J34" s="127"/>
      <c r="K34" s="127"/>
      <c r="L34" s="127">
        <v>700</v>
      </c>
      <c r="M34" s="127"/>
      <c r="N34" s="127"/>
      <c r="O34" s="127"/>
      <c r="P34" s="111">
        <f>$H$34/$L$34</f>
        <v>3.2857142857142856</v>
      </c>
      <c r="Q34" s="111"/>
      <c r="R34" s="31"/>
      <c r="S34" s="31"/>
      <c r="T34" s="31"/>
      <c r="U34" s="31"/>
      <c r="V34" s="31"/>
      <c r="W34" s="31"/>
      <c r="X34" s="31"/>
      <c r="Y34" s="31"/>
      <c r="Z34" s="31"/>
      <c r="AA34" s="31"/>
      <c r="AB34" s="31"/>
      <c r="AC34" s="31"/>
      <c r="AD34" s="31"/>
      <c r="AE34" s="31"/>
      <c r="AF34" s="31"/>
      <c r="AG34" s="31"/>
      <c r="AH34" s="31"/>
      <c r="AI34" s="31"/>
      <c r="AJ34" s="31"/>
      <c r="AK34" s="108" t="str">
        <f>$AK$9</f>
        <v>Full Performance</v>
      </c>
      <c r="AL34" s="108"/>
      <c r="AM34" s="108"/>
      <c r="AN34" s="108"/>
      <c r="AO34" s="108"/>
      <c r="AP34" s="108"/>
      <c r="AQ34" s="105" t="s">
        <v>103</v>
      </c>
      <c r="AR34" s="105"/>
      <c r="AS34" s="105"/>
      <c r="AT34" s="105"/>
      <c r="AU34" s="105"/>
      <c r="AV34" s="105"/>
      <c r="AW34" s="105"/>
      <c r="AX34" s="105"/>
      <c r="AY34" s="105"/>
      <c r="AZ34" s="105"/>
      <c r="BA34" s="105"/>
      <c r="BB34" s="105"/>
      <c r="BC34" s="33"/>
      <c r="BD34" s="33"/>
      <c r="BE34" s="34" t="s">
        <v>127</v>
      </c>
      <c r="BF34" s="60"/>
      <c r="BI34" s="50"/>
      <c r="BJ34" s="50"/>
      <c r="CA34" s="29"/>
      <c r="CB34" s="63">
        <v>17</v>
      </c>
      <c r="CC34" s="63">
        <f>data!$D38</f>
        <v>31</v>
      </c>
      <c r="CD34" s="63">
        <f>data!$E38</f>
        <v>75</v>
      </c>
      <c r="CE34" s="70">
        <f t="shared" si="0"/>
        <v>2222.2819528139999</v>
      </c>
      <c r="CF34" s="71">
        <f t="shared" si="1"/>
        <v>1</v>
      </c>
      <c r="CG34" s="71">
        <f t="shared" si="2"/>
        <v>1</v>
      </c>
      <c r="CH34" s="72">
        <f t="shared" si="3"/>
        <v>3185.9442178069799</v>
      </c>
      <c r="CI34" s="72">
        <f t="shared" si="4"/>
        <v>1438.4027278366666</v>
      </c>
      <c r="CJ34" s="72">
        <f t="shared" si="5"/>
        <v>1438.4027278366666</v>
      </c>
      <c r="CK34" s="70">
        <f t="shared" si="6"/>
        <v>166671.14646105</v>
      </c>
      <c r="CL34" s="72">
        <f t="shared" si="7"/>
        <v>889.12320000000011</v>
      </c>
      <c r="CM34" s="72">
        <f t="shared" si="8"/>
        <v>286.4666666666667</v>
      </c>
      <c r="CN34" s="72">
        <f t="shared" si="9"/>
        <v>286.4666666666667</v>
      </c>
      <c r="CO34" s="45">
        <f t="shared" si="10"/>
        <v>3.5832427022565372</v>
      </c>
      <c r="CP34" s="45">
        <f t="shared" si="11"/>
        <v>5.0211870880963456</v>
      </c>
      <c r="CQ34" s="45">
        <f t="shared" si="12"/>
        <v>5.0211870880963456</v>
      </c>
      <c r="CR34" s="45">
        <f t="shared" si="13"/>
        <v>0</v>
      </c>
      <c r="CS34" s="45">
        <f t="shared" si="14"/>
        <v>0</v>
      </c>
      <c r="CT34" s="45">
        <f t="shared" si="15"/>
        <v>5.0851422761170095</v>
      </c>
      <c r="CU34" s="45">
        <f t="shared" si="16"/>
        <v>0</v>
      </c>
      <c r="CV34" s="72">
        <f t="shared" si="17"/>
        <v>0</v>
      </c>
      <c r="CW34" s="72">
        <f t="shared" si="18"/>
        <v>0</v>
      </c>
      <c r="CX34" s="72">
        <f t="shared" si="19"/>
        <v>437.01470522294289</v>
      </c>
      <c r="CY34" s="72">
        <f t="shared" si="20"/>
        <v>0</v>
      </c>
      <c r="CZ34" s="70">
        <f t="shared" si="21"/>
        <v>32776.102891720715</v>
      </c>
    </row>
    <row r="35" spans="1:104" s="34" customFormat="1" ht="12" customHeight="1">
      <c r="A35" s="31"/>
      <c r="B35" s="31"/>
      <c r="C35" s="31"/>
      <c r="D35" s="123" t="str">
        <f>$D$11</f>
        <v>Minimum</v>
      </c>
      <c r="E35" s="124"/>
      <c r="F35" s="124"/>
      <c r="G35" s="125"/>
      <c r="H35" s="127">
        <v>1300</v>
      </c>
      <c r="I35" s="127"/>
      <c r="J35" s="127"/>
      <c r="K35" s="127"/>
      <c r="L35" s="127">
        <v>420</v>
      </c>
      <c r="M35" s="127"/>
      <c r="N35" s="127"/>
      <c r="O35" s="127"/>
      <c r="P35" s="111">
        <f>$H$35/$L$35</f>
        <v>3.0952380952380953</v>
      </c>
      <c r="Q35" s="111"/>
      <c r="R35" s="31"/>
      <c r="S35" s="31"/>
      <c r="T35" s="31"/>
      <c r="U35" s="31"/>
      <c r="V35" s="31"/>
      <c r="W35" s="31"/>
      <c r="X35" s="31"/>
      <c r="Y35" s="31"/>
      <c r="Z35" s="31"/>
      <c r="AA35" s="31"/>
      <c r="AB35" s="31"/>
      <c r="AC35" s="31"/>
      <c r="AD35" s="31"/>
      <c r="AE35" s="31"/>
      <c r="AF35" s="31"/>
      <c r="AG35" s="31"/>
      <c r="AH35" s="31"/>
      <c r="AI35" s="31"/>
      <c r="AJ35" s="31"/>
      <c r="AK35" s="108" t="str">
        <f>$AK$10</f>
        <v>Half Performance</v>
      </c>
      <c r="AL35" s="108"/>
      <c r="AM35" s="108"/>
      <c r="AN35" s="108"/>
      <c r="AO35" s="108"/>
      <c r="AP35" s="108"/>
      <c r="AQ35" s="105" t="s">
        <v>103</v>
      </c>
      <c r="AR35" s="105"/>
      <c r="AS35" s="105"/>
      <c r="AT35" s="105"/>
      <c r="AU35" s="105"/>
      <c r="AV35" s="105"/>
      <c r="AW35" s="105"/>
      <c r="AX35" s="105"/>
      <c r="AY35" s="105"/>
      <c r="AZ35" s="105"/>
      <c r="BA35" s="105"/>
      <c r="BB35" s="105"/>
      <c r="BC35" s="33"/>
      <c r="BD35" s="33"/>
      <c r="BE35" s="34" t="s">
        <v>127</v>
      </c>
      <c r="BF35" s="60"/>
      <c r="BI35" s="50"/>
      <c r="BJ35" s="50"/>
      <c r="CA35" s="29"/>
      <c r="CB35" s="63">
        <v>18</v>
      </c>
      <c r="CC35" s="63">
        <f>data!$D39</f>
        <v>32</v>
      </c>
      <c r="CD35" s="63">
        <f>data!$E39</f>
        <v>35</v>
      </c>
      <c r="CE35" s="70">
        <f t="shared" si="0"/>
        <v>2424.3075848880003</v>
      </c>
      <c r="CF35" s="71">
        <f t="shared" si="1"/>
        <v>1</v>
      </c>
      <c r="CG35" s="71">
        <f t="shared" si="2"/>
        <v>1</v>
      </c>
      <c r="CH35" s="72">
        <f t="shared" si="3"/>
        <v>3147.054283632735</v>
      </c>
      <c r="CI35" s="72">
        <f t="shared" si="4"/>
        <v>1479.349645025</v>
      </c>
      <c r="CJ35" s="72">
        <f t="shared" si="5"/>
        <v>1479.349645025</v>
      </c>
      <c r="CK35" s="70">
        <f t="shared" si="6"/>
        <v>84850.765471080013</v>
      </c>
      <c r="CL35" s="72">
        <f t="shared" si="7"/>
        <v>902.64240000000007</v>
      </c>
      <c r="CM35" s="72">
        <f t="shared" si="8"/>
        <v>310.75</v>
      </c>
      <c r="CN35" s="72">
        <f t="shared" si="9"/>
        <v>310.75</v>
      </c>
      <c r="CO35" s="45">
        <f t="shared" si="10"/>
        <v>3.4864906452796087</v>
      </c>
      <c r="CP35" s="45">
        <f t="shared" si="11"/>
        <v>4.7605781014481092</v>
      </c>
      <c r="CQ35" s="45">
        <f t="shared" si="12"/>
        <v>4.7605781014481092</v>
      </c>
      <c r="CR35" s="45">
        <f t="shared" si="13"/>
        <v>0</v>
      </c>
      <c r="CS35" s="45">
        <f t="shared" si="14"/>
        <v>0</v>
      </c>
      <c r="CT35" s="45">
        <f t="shared" si="15"/>
        <v>4.6170756641249699</v>
      </c>
      <c r="CU35" s="45">
        <f t="shared" si="16"/>
        <v>0</v>
      </c>
      <c r="CV35" s="72">
        <f t="shared" si="17"/>
        <v>0</v>
      </c>
      <c r="CW35" s="72">
        <f t="shared" si="18"/>
        <v>0</v>
      </c>
      <c r="CX35" s="72">
        <f t="shared" si="19"/>
        <v>525.07425938999768</v>
      </c>
      <c r="CY35" s="72">
        <f t="shared" si="20"/>
        <v>0</v>
      </c>
      <c r="CZ35" s="70">
        <f t="shared" si="21"/>
        <v>18377.599078649917</v>
      </c>
    </row>
    <row r="36" spans="1:104" ht="12" customHeight="1">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c r="AJ36" s="31"/>
      <c r="AK36" s="108" t="str">
        <f>$AK$11</f>
        <v>Min Performance</v>
      </c>
      <c r="AL36" s="108"/>
      <c r="AM36" s="108"/>
      <c r="AN36" s="108"/>
      <c r="AO36" s="108"/>
      <c r="AP36" s="108"/>
      <c r="AQ36" s="75"/>
      <c r="AR36" s="101" t="str">
        <f>$AR$11</f>
        <v>Not Measure</v>
      </c>
      <c r="AS36" s="101"/>
      <c r="AT36" s="101"/>
      <c r="AU36" s="101"/>
      <c r="AV36" s="102"/>
      <c r="AW36" s="75"/>
      <c r="AX36" s="101" t="str">
        <f>$AX$11</f>
        <v>Measure</v>
      </c>
      <c r="AY36" s="101"/>
      <c r="AZ36" s="101"/>
      <c r="BA36" s="101"/>
      <c r="BB36" s="102"/>
      <c r="BC36" s="81">
        <v>1</v>
      </c>
      <c r="BD36" s="33" t="str">
        <f>IF($BC$32=2,IF($BC$36=2,"Measure","Not Measure"),"Not Measure")</f>
        <v>Not Measure</v>
      </c>
      <c r="BE36" s="34" t="s">
        <v>127</v>
      </c>
      <c r="BF36" s="60"/>
      <c r="BG36" s="34"/>
      <c r="BH36" s="34"/>
      <c r="BI36" s="50"/>
      <c r="BJ36" s="50"/>
      <c r="CB36" s="63">
        <v>19</v>
      </c>
      <c r="CC36" s="63">
        <f>data!$D40</f>
        <v>33</v>
      </c>
      <c r="CD36" s="63">
        <f>data!$E40</f>
        <v>11</v>
      </c>
      <c r="CE36" s="70">
        <f t="shared" si="0"/>
        <v>2626.3332169619998</v>
      </c>
      <c r="CF36" s="71">
        <f t="shared" si="1"/>
        <v>1</v>
      </c>
      <c r="CG36" s="71">
        <f t="shared" si="2"/>
        <v>1</v>
      </c>
      <c r="CH36" s="72">
        <f t="shared" si="3"/>
        <v>3108.1643494584896</v>
      </c>
      <c r="CI36" s="72">
        <f t="shared" si="4"/>
        <v>1520.2965622133331</v>
      </c>
      <c r="CJ36" s="72">
        <f t="shared" si="5"/>
        <v>1520.2965622133331</v>
      </c>
      <c r="CK36" s="70">
        <f t="shared" si="6"/>
        <v>28889.665386581997</v>
      </c>
      <c r="CL36" s="72">
        <f t="shared" si="7"/>
        <v>916.16160000000002</v>
      </c>
      <c r="CM36" s="72">
        <f t="shared" si="8"/>
        <v>335.03333333333336</v>
      </c>
      <c r="CN36" s="72">
        <f t="shared" si="9"/>
        <v>335.03333333333336</v>
      </c>
      <c r="CO36" s="45">
        <f t="shared" si="10"/>
        <v>3.3925940024756436</v>
      </c>
      <c r="CP36" s="45">
        <f t="shared" si="11"/>
        <v>4.5377471760421839</v>
      </c>
      <c r="CQ36" s="45">
        <f t="shared" si="12"/>
        <v>4.5377471760421839</v>
      </c>
      <c r="CR36" s="45">
        <f t="shared" si="13"/>
        <v>0</v>
      </c>
      <c r="CS36" s="45">
        <f t="shared" si="14"/>
        <v>0</v>
      </c>
      <c r="CT36" s="45">
        <f t="shared" si="15"/>
        <v>4.1490090521329321</v>
      </c>
      <c r="CU36" s="45">
        <f t="shared" si="16"/>
        <v>0</v>
      </c>
      <c r="CV36" s="72">
        <f t="shared" si="17"/>
        <v>0</v>
      </c>
      <c r="CW36" s="72">
        <f t="shared" si="18"/>
        <v>0</v>
      </c>
      <c r="CX36" s="72">
        <f t="shared" si="19"/>
        <v>633.00252758230272</v>
      </c>
      <c r="CY36" s="72">
        <f t="shared" si="20"/>
        <v>0</v>
      </c>
      <c r="CZ36" s="70">
        <f t="shared" si="21"/>
        <v>6963.0278034053299</v>
      </c>
    </row>
    <row r="37" spans="1:104" ht="12" customHeight="1">
      <c r="A37" s="31"/>
      <c r="B37" s="31"/>
      <c r="C37" s="31"/>
      <c r="D37" s="31" t="s">
        <v>93</v>
      </c>
      <c r="E37" s="31"/>
      <c r="F37" s="31"/>
      <c r="G37" s="31"/>
      <c r="H37" s="31"/>
      <c r="I37" s="31"/>
      <c r="J37" s="31"/>
      <c r="K37" s="31"/>
      <c r="L37" s="31"/>
      <c r="M37" s="31"/>
      <c r="N37" s="31"/>
      <c r="O37" s="31"/>
      <c r="P37" s="31"/>
      <c r="Q37" s="31"/>
      <c r="R37" s="31"/>
      <c r="S37" s="31"/>
      <c r="T37" s="31"/>
      <c r="U37" s="31"/>
      <c r="V37" s="31"/>
      <c r="W37" s="31"/>
      <c r="X37" s="31"/>
      <c r="Y37" s="108" t="str">
        <f>data!$I$7</f>
        <v>International</v>
      </c>
      <c r="Z37" s="108"/>
      <c r="AA37" s="108"/>
      <c r="AB37" s="108"/>
      <c r="AC37" s="108" t="str">
        <f>data!$K$7</f>
        <v>CUSTOM</v>
      </c>
      <c r="AD37" s="108"/>
      <c r="AE37" s="108"/>
      <c r="AF37" s="108"/>
      <c r="AG37" s="31"/>
      <c r="AH37" s="31"/>
      <c r="AI37" s="31"/>
      <c r="AJ37" s="31"/>
      <c r="AK37" s="31"/>
      <c r="AL37" s="31"/>
      <c r="AM37" s="31"/>
      <c r="AN37" s="31"/>
      <c r="AO37" s="31"/>
      <c r="AP37" s="31"/>
      <c r="AQ37" s="31"/>
      <c r="AR37" s="31"/>
      <c r="AS37" s="31"/>
      <c r="AT37" s="31"/>
      <c r="AU37" s="31"/>
      <c r="AV37" s="31"/>
      <c r="AW37" s="31"/>
      <c r="AX37" s="31"/>
      <c r="AY37" s="31"/>
      <c r="AZ37" s="31"/>
      <c r="BA37" s="76"/>
      <c r="BB37" s="76"/>
      <c r="BC37" s="33"/>
      <c r="BD37" s="33"/>
      <c r="BE37" s="34" t="s">
        <v>127</v>
      </c>
      <c r="BF37" s="60"/>
      <c r="BG37" s="34"/>
      <c r="BH37" s="34"/>
      <c r="BI37" s="50"/>
      <c r="BJ37" s="50"/>
      <c r="BK37" s="50"/>
      <c r="BL37" s="50"/>
      <c r="BM37" s="50"/>
      <c r="BN37" s="50"/>
      <c r="BO37" s="50"/>
      <c r="BP37" s="50"/>
      <c r="CB37" s="63">
        <v>20</v>
      </c>
      <c r="CC37" s="63">
        <f>data!$D41</f>
        <v>34</v>
      </c>
      <c r="CD37" s="63">
        <f>data!$E41</f>
        <v>6</v>
      </c>
      <c r="CE37" s="70">
        <f t="shared" si="0"/>
        <v>2828.3588490359998</v>
      </c>
      <c r="CF37" s="71">
        <f t="shared" si="1"/>
        <v>1</v>
      </c>
      <c r="CG37" s="71">
        <f t="shared" si="2"/>
        <v>1</v>
      </c>
      <c r="CH37" s="72">
        <f t="shared" si="3"/>
        <v>3069.2744152842447</v>
      </c>
      <c r="CI37" s="72">
        <f t="shared" si="4"/>
        <v>1561.2434794016663</v>
      </c>
      <c r="CJ37" s="72">
        <f t="shared" si="5"/>
        <v>1561.2434794016663</v>
      </c>
      <c r="CK37" s="70">
        <f t="shared" si="6"/>
        <v>16970.153094215999</v>
      </c>
      <c r="CL37" s="72">
        <f t="shared" si="7"/>
        <v>929.68080000000009</v>
      </c>
      <c r="CM37" s="72">
        <f t="shared" si="8"/>
        <v>359.31666666666666</v>
      </c>
      <c r="CN37" s="72">
        <f t="shared" si="9"/>
        <v>359.31666666666666</v>
      </c>
      <c r="CO37" s="45">
        <f t="shared" si="10"/>
        <v>3.3014282055564066</v>
      </c>
      <c r="CP37" s="45">
        <f t="shared" si="11"/>
        <v>4.3450349628507805</v>
      </c>
      <c r="CQ37" s="45">
        <f t="shared" si="12"/>
        <v>4.3450349628507805</v>
      </c>
      <c r="CR37" s="45">
        <f t="shared" si="13"/>
        <v>0</v>
      </c>
      <c r="CS37" s="45">
        <f t="shared" si="14"/>
        <v>0</v>
      </c>
      <c r="CT37" s="45">
        <f t="shared" si="15"/>
        <v>3.6809424401408934</v>
      </c>
      <c r="CU37" s="45">
        <f t="shared" si="16"/>
        <v>0</v>
      </c>
      <c r="CV37" s="72">
        <f t="shared" si="17"/>
        <v>0</v>
      </c>
      <c r="CW37" s="72">
        <f t="shared" si="18"/>
        <v>0</v>
      </c>
      <c r="CX37" s="72">
        <f t="shared" si="19"/>
        <v>768.3789939751789</v>
      </c>
      <c r="CY37" s="72">
        <f t="shared" si="20"/>
        <v>0</v>
      </c>
      <c r="CZ37" s="70">
        <f t="shared" si="21"/>
        <v>4610.2739638510739</v>
      </c>
    </row>
    <row r="38" spans="1:104" ht="12" customHeight="1">
      <c r="A38" s="31"/>
      <c r="B38" s="31"/>
      <c r="C38" s="31"/>
      <c r="D38" s="31"/>
      <c r="E38" s="31"/>
      <c r="F38" s="31"/>
      <c r="G38" s="31"/>
      <c r="H38" s="132" t="str">
        <f>$H$8</f>
        <v>Capacity [W]</v>
      </c>
      <c r="I38" s="132"/>
      <c r="J38" s="132"/>
      <c r="K38" s="132"/>
      <c r="L38" s="132" t="str">
        <f>$L$8</f>
        <v>Power [W]</v>
      </c>
      <c r="M38" s="132"/>
      <c r="N38" s="132"/>
      <c r="O38" s="132"/>
      <c r="P38" s="103" t="str">
        <f>$P$8</f>
        <v>EER</v>
      </c>
      <c r="Q38" s="104"/>
      <c r="R38" s="31"/>
      <c r="S38" s="31"/>
      <c r="T38" s="31"/>
      <c r="U38" s="108" t="str">
        <f>$U$13</f>
        <v>CSTL [ kWh ]</v>
      </c>
      <c r="V38" s="108"/>
      <c r="W38" s="108"/>
      <c r="X38" s="108"/>
      <c r="Y38" s="146">
        <f>'Variable Capacity unit'!$CK$163/1000</f>
        <v>12655.753846153848</v>
      </c>
      <c r="Z38" s="146"/>
      <c r="AA38" s="146"/>
      <c r="AB38" s="146"/>
      <c r="AC38" s="146">
        <f>'Variable Capacity unit'!CK223/1000</f>
        <v>12655.753846153848</v>
      </c>
      <c r="AD38" s="146"/>
      <c r="AE38" s="146"/>
      <c r="AF38" s="146"/>
      <c r="AG38" s="31"/>
      <c r="AH38" s="31"/>
      <c r="AI38" s="31" t="s">
        <v>68</v>
      </c>
      <c r="AJ38" s="31"/>
      <c r="AK38" s="109" t="str">
        <f>$D$9</f>
        <v>Full</v>
      </c>
      <c r="AL38" s="109"/>
      <c r="AM38" s="109"/>
      <c r="AN38" s="109"/>
      <c r="AO38" s="109"/>
      <c r="AP38" s="109"/>
      <c r="AQ38" s="117" t="s">
        <v>103</v>
      </c>
      <c r="AR38" s="118"/>
      <c r="AS38" s="118"/>
      <c r="AT38" s="118"/>
      <c r="AU38" s="118"/>
      <c r="AV38" s="118"/>
      <c r="AW38" s="118"/>
      <c r="AX38" s="118"/>
      <c r="AY38" s="118"/>
      <c r="AZ38" s="118"/>
      <c r="BA38" s="118"/>
      <c r="BB38" s="119"/>
      <c r="BC38" s="33"/>
      <c r="BD38" s="33"/>
      <c r="BE38" s="34" t="s">
        <v>127</v>
      </c>
      <c r="BF38" s="60"/>
      <c r="BG38" s="34"/>
      <c r="BH38" s="34"/>
      <c r="BI38" s="50"/>
      <c r="BJ38" s="50"/>
      <c r="CB38" s="63">
        <v>21</v>
      </c>
      <c r="CC38" s="63">
        <f>data!$D42</f>
        <v>35</v>
      </c>
      <c r="CD38" s="63">
        <f>data!$E42</f>
        <v>4</v>
      </c>
      <c r="CE38" s="70">
        <f t="shared" si="0"/>
        <v>3030.3844811099998</v>
      </c>
      <c r="CF38" s="71">
        <f t="shared" si="1"/>
        <v>1</v>
      </c>
      <c r="CG38" s="71">
        <f t="shared" si="2"/>
        <v>1</v>
      </c>
      <c r="CH38" s="72">
        <f t="shared" si="3"/>
        <v>3030.3844811099998</v>
      </c>
      <c r="CI38" s="72">
        <f t="shared" si="4"/>
        <v>1602.1903965899996</v>
      </c>
      <c r="CJ38" s="72">
        <f t="shared" si="5"/>
        <v>1602.1903965899996</v>
      </c>
      <c r="CK38" s="70">
        <f t="shared" si="6"/>
        <v>12121.537924439999</v>
      </c>
      <c r="CL38" s="72">
        <f t="shared" si="7"/>
        <v>943.2</v>
      </c>
      <c r="CM38" s="72">
        <f t="shared" si="8"/>
        <v>383.6</v>
      </c>
      <c r="CN38" s="72">
        <f t="shared" si="9"/>
        <v>383.6</v>
      </c>
      <c r="CO38" s="45">
        <f t="shared" si="10"/>
        <v>3.2128758281488548</v>
      </c>
      <c r="CP38" s="45">
        <f t="shared" si="11"/>
        <v>4.1767215760948897</v>
      </c>
      <c r="CQ38" s="45">
        <f t="shared" si="12"/>
        <v>4.1767215760948897</v>
      </c>
      <c r="CR38" s="45">
        <f t="shared" si="13"/>
        <v>0</v>
      </c>
      <c r="CS38" s="45">
        <f t="shared" si="14"/>
        <v>0</v>
      </c>
      <c r="CT38" s="45">
        <f t="shared" si="15"/>
        <v>3.2128758281488548</v>
      </c>
      <c r="CU38" s="45">
        <f t="shared" si="16"/>
        <v>0</v>
      </c>
      <c r="CV38" s="72">
        <f t="shared" si="17"/>
        <v>0</v>
      </c>
      <c r="CW38" s="72">
        <f t="shared" si="18"/>
        <v>0</v>
      </c>
      <c r="CX38" s="72">
        <f t="shared" si="19"/>
        <v>943.2</v>
      </c>
      <c r="CY38" s="72">
        <f t="shared" si="20"/>
        <v>0</v>
      </c>
      <c r="CZ38" s="70">
        <f t="shared" si="21"/>
        <v>3772.8</v>
      </c>
    </row>
    <row r="39" spans="1:104" ht="12" customHeight="1">
      <c r="A39" s="31"/>
      <c r="B39" s="31"/>
      <c r="C39" s="31"/>
      <c r="D39" s="123" t="str">
        <f>$D$9</f>
        <v>Full</v>
      </c>
      <c r="E39" s="124"/>
      <c r="F39" s="124"/>
      <c r="G39" s="125"/>
      <c r="H39" s="134">
        <v>5500</v>
      </c>
      <c r="I39" s="134"/>
      <c r="J39" s="134"/>
      <c r="K39" s="134"/>
      <c r="L39" s="134">
        <v>1520</v>
      </c>
      <c r="M39" s="134"/>
      <c r="N39" s="134"/>
      <c r="O39" s="134"/>
      <c r="P39" s="111">
        <f>$H$39/$L$39</f>
        <v>3.6184210526315788</v>
      </c>
      <c r="Q39" s="111"/>
      <c r="R39" s="31"/>
      <c r="S39" s="31"/>
      <c r="T39" s="31"/>
      <c r="U39" s="108" t="str">
        <f>$U$14</f>
        <v>CSEC [ kWh ]</v>
      </c>
      <c r="V39" s="108"/>
      <c r="W39" s="108"/>
      <c r="X39" s="108"/>
      <c r="Y39" s="146">
        <f>'Variable Capacity unit'!$CZ$163/1000</f>
        <v>3094.744645029512</v>
      </c>
      <c r="Z39" s="146"/>
      <c r="AA39" s="146"/>
      <c r="AB39" s="146"/>
      <c r="AC39" s="146">
        <f>'Variable Capacity unit'!CZ223/1000</f>
        <v>3094.744645029512</v>
      </c>
      <c r="AD39" s="146"/>
      <c r="AE39" s="146"/>
      <c r="AF39" s="146"/>
      <c r="AG39" s="31"/>
      <c r="AH39" s="31"/>
      <c r="AI39" s="31"/>
      <c r="AJ39" s="31"/>
      <c r="AK39" s="109" t="str">
        <f>$D$10</f>
        <v>Half</v>
      </c>
      <c r="AL39" s="109"/>
      <c r="AM39" s="109"/>
      <c r="AN39" s="109"/>
      <c r="AO39" s="109"/>
      <c r="AP39" s="109"/>
      <c r="AQ39" s="57"/>
      <c r="AR39" s="101" t="s">
        <v>104</v>
      </c>
      <c r="AS39" s="101"/>
      <c r="AT39" s="101"/>
      <c r="AU39" s="101"/>
      <c r="AV39" s="102"/>
      <c r="AW39" s="57"/>
      <c r="AX39" s="101" t="s">
        <v>103</v>
      </c>
      <c r="AY39" s="101"/>
      <c r="AZ39" s="101"/>
      <c r="BA39" s="101"/>
      <c r="BB39" s="102"/>
      <c r="BC39" s="81">
        <v>1</v>
      </c>
      <c r="BD39" s="33" t="str">
        <f>IF($BC$32=2,IF($BC$39=2,"Measure","Default"),"Default")</f>
        <v>Default</v>
      </c>
      <c r="BE39" s="34" t="s">
        <v>127</v>
      </c>
      <c r="BF39" s="60"/>
      <c r="BG39" s="34"/>
      <c r="BH39" s="34"/>
      <c r="BI39" s="50"/>
      <c r="BJ39" s="50"/>
      <c r="CB39" s="63">
        <v>22</v>
      </c>
      <c r="CC39" s="63">
        <f>data!$D43</f>
        <v>36</v>
      </c>
      <c r="CD39" s="63">
        <f>data!$E43</f>
        <v>0</v>
      </c>
      <c r="CE39" s="70">
        <f t="shared" si="0"/>
        <v>3232.4101131839998</v>
      </c>
      <c r="CF39" s="71">
        <f t="shared" si="1"/>
        <v>1</v>
      </c>
      <c r="CG39" s="71">
        <f t="shared" si="2"/>
        <v>1</v>
      </c>
      <c r="CH39" s="72">
        <f t="shared" si="3"/>
        <v>2991.4945469357549</v>
      </c>
      <c r="CI39" s="72">
        <f t="shared" si="4"/>
        <v>1643.137313778333</v>
      </c>
      <c r="CJ39" s="72">
        <f t="shared" si="5"/>
        <v>1643.137313778333</v>
      </c>
      <c r="CK39" s="70">
        <f t="shared" si="6"/>
        <v>0</v>
      </c>
      <c r="CL39" s="72">
        <f t="shared" si="7"/>
        <v>956.7192</v>
      </c>
      <c r="CM39" s="72">
        <f t="shared" si="8"/>
        <v>407.88333333333338</v>
      </c>
      <c r="CN39" s="72">
        <f t="shared" si="9"/>
        <v>407.88333333333338</v>
      </c>
      <c r="CO39" s="45">
        <f t="shared" si="10"/>
        <v>3.1268260811905466</v>
      </c>
      <c r="CP39" s="45">
        <f t="shared" si="11"/>
        <v>4.0284492635434956</v>
      </c>
      <c r="CQ39" s="45">
        <f t="shared" si="12"/>
        <v>4.0284492635434956</v>
      </c>
      <c r="CR39" s="45">
        <f t="shared" si="13"/>
        <v>0</v>
      </c>
      <c r="CS39" s="45">
        <f t="shared" si="14"/>
        <v>0</v>
      </c>
      <c r="CT39" s="45">
        <f t="shared" si="15"/>
        <v>0</v>
      </c>
      <c r="CU39" s="45">
        <f t="shared" si="16"/>
        <v>3.1268260811905466</v>
      </c>
      <c r="CV39" s="72">
        <f t="shared" si="17"/>
        <v>0</v>
      </c>
      <c r="CW39" s="72">
        <f t="shared" si="18"/>
        <v>0</v>
      </c>
      <c r="CX39" s="72">
        <f t="shared" si="19"/>
        <v>0</v>
      </c>
      <c r="CY39" s="72">
        <f t="shared" si="20"/>
        <v>956.7192</v>
      </c>
      <c r="CZ39" s="70">
        <f t="shared" si="21"/>
        <v>0</v>
      </c>
    </row>
    <row r="40" spans="1:104" ht="12" customHeight="1">
      <c r="A40" s="31"/>
      <c r="B40" s="31"/>
      <c r="C40" s="31"/>
      <c r="D40" s="123" t="str">
        <f>$D$10</f>
        <v>Half</v>
      </c>
      <c r="E40" s="124"/>
      <c r="F40" s="124"/>
      <c r="G40" s="125"/>
      <c r="H40" s="134">
        <v>2600</v>
      </c>
      <c r="I40" s="134"/>
      <c r="J40" s="134"/>
      <c r="K40" s="134"/>
      <c r="L40" s="134">
        <v>600</v>
      </c>
      <c r="M40" s="134"/>
      <c r="N40" s="134"/>
      <c r="O40" s="134"/>
      <c r="P40" s="111">
        <f>$H$40/$L$40</f>
        <v>4.333333333333333</v>
      </c>
      <c r="Q40" s="111"/>
      <c r="R40" s="31"/>
      <c r="S40" s="31"/>
      <c r="T40" s="31"/>
      <c r="U40" s="108" t="str">
        <f>$U$15</f>
        <v>CSPF</v>
      </c>
      <c r="V40" s="108"/>
      <c r="W40" s="108"/>
      <c r="X40" s="108"/>
      <c r="Y40" s="111">
        <f>'Variable Capacity unit'!$CF$112</f>
        <v>4.0894339591088169</v>
      </c>
      <c r="Z40" s="111"/>
      <c r="AA40" s="111"/>
      <c r="AB40" s="111"/>
      <c r="AC40" s="147">
        <f>'Variable Capacity unit'!CF172</f>
        <v>4.0894339591088169</v>
      </c>
      <c r="AD40" s="147"/>
      <c r="AE40" s="147"/>
      <c r="AF40" s="147"/>
      <c r="AG40" s="31"/>
      <c r="AH40" s="31"/>
      <c r="AI40" s="31"/>
      <c r="AJ40" s="31"/>
      <c r="AK40" s="109" t="str">
        <f>$D$11</f>
        <v>Minimum</v>
      </c>
      <c r="AL40" s="109"/>
      <c r="AM40" s="109"/>
      <c r="AN40" s="109"/>
      <c r="AO40" s="109"/>
      <c r="AP40" s="109"/>
      <c r="AQ40" s="57"/>
      <c r="AR40" s="101" t="s">
        <v>104</v>
      </c>
      <c r="AS40" s="101"/>
      <c r="AT40" s="101"/>
      <c r="AU40" s="101"/>
      <c r="AV40" s="102"/>
      <c r="AW40" s="57"/>
      <c r="AX40" s="101" t="s">
        <v>103</v>
      </c>
      <c r="AY40" s="101"/>
      <c r="AZ40" s="101"/>
      <c r="BA40" s="101"/>
      <c r="BB40" s="102"/>
      <c r="BC40" s="81">
        <v>1</v>
      </c>
      <c r="BD40" s="33" t="str">
        <f>IF(AND($BC$32=2,$BC$36=2),IF($BC$40=2,"Measure","Default"),"Default")</f>
        <v>Default</v>
      </c>
      <c r="BE40" s="34" t="s">
        <v>127</v>
      </c>
      <c r="BF40" s="60"/>
      <c r="BG40" s="34"/>
      <c r="BH40" s="34" t="s">
        <v>119</v>
      </c>
      <c r="BI40" s="50"/>
      <c r="BJ40" s="50"/>
      <c r="CB40" s="63">
        <v>23</v>
      </c>
      <c r="CC40" s="63">
        <f>data!$D44</f>
        <v>37</v>
      </c>
      <c r="CD40" s="63">
        <f>data!$E44</f>
        <v>0</v>
      </c>
      <c r="CE40" s="70">
        <f t="shared" si="0"/>
        <v>3434.4357452579998</v>
      </c>
      <c r="CF40" s="71">
        <f t="shared" si="1"/>
        <v>1</v>
      </c>
      <c r="CG40" s="71">
        <f t="shared" si="2"/>
        <v>1</v>
      </c>
      <c r="CH40" s="72">
        <f t="shared" si="3"/>
        <v>2952.60461276151</v>
      </c>
      <c r="CI40" s="72">
        <f t="shared" si="4"/>
        <v>1684.0842309666662</v>
      </c>
      <c r="CJ40" s="72">
        <f t="shared" si="5"/>
        <v>1684.0842309666662</v>
      </c>
      <c r="CK40" s="70">
        <f t="shared" si="6"/>
        <v>0</v>
      </c>
      <c r="CL40" s="72">
        <f t="shared" si="7"/>
        <v>970.23840000000007</v>
      </c>
      <c r="CM40" s="72">
        <f t="shared" si="8"/>
        <v>432.16666666666669</v>
      </c>
      <c r="CN40" s="72">
        <f t="shared" si="9"/>
        <v>432.16666666666669</v>
      </c>
      <c r="CO40" s="45">
        <f t="shared" si="10"/>
        <v>3.0431743505116988</v>
      </c>
      <c r="CP40" s="45">
        <f t="shared" si="11"/>
        <v>3.8968397168530644</v>
      </c>
      <c r="CQ40" s="45">
        <f t="shared" si="12"/>
        <v>3.8968397168530644</v>
      </c>
      <c r="CR40" s="45">
        <f t="shared" si="13"/>
        <v>0</v>
      </c>
      <c r="CS40" s="45">
        <f t="shared" si="14"/>
        <v>0</v>
      </c>
      <c r="CT40" s="45">
        <f t="shared" si="15"/>
        <v>0</v>
      </c>
      <c r="CU40" s="45">
        <f t="shared" si="16"/>
        <v>3.0431743505116988</v>
      </c>
      <c r="CV40" s="72">
        <f t="shared" si="17"/>
        <v>0</v>
      </c>
      <c r="CW40" s="72">
        <f t="shared" si="18"/>
        <v>0</v>
      </c>
      <c r="CX40" s="72">
        <f t="shared" si="19"/>
        <v>0</v>
      </c>
      <c r="CY40" s="72">
        <f t="shared" si="20"/>
        <v>970.23840000000007</v>
      </c>
      <c r="CZ40" s="70">
        <f t="shared" si="21"/>
        <v>0</v>
      </c>
    </row>
    <row r="41" spans="1:104" ht="12" customHeight="1">
      <c r="A41" s="31"/>
      <c r="B41" s="31"/>
      <c r="C41" s="31"/>
      <c r="D41" s="123" t="str">
        <f>$D$11</f>
        <v>Minimum</v>
      </c>
      <c r="E41" s="124"/>
      <c r="F41" s="124"/>
      <c r="G41" s="125"/>
      <c r="H41" s="128">
        <v>1500</v>
      </c>
      <c r="I41" s="128"/>
      <c r="J41" s="128"/>
      <c r="K41" s="128"/>
      <c r="L41" s="128">
        <v>320</v>
      </c>
      <c r="M41" s="128"/>
      <c r="N41" s="128"/>
      <c r="O41" s="128"/>
      <c r="P41" s="111">
        <f>$H$41/$L$41</f>
        <v>4.6875</v>
      </c>
      <c r="Q41" s="111"/>
      <c r="R41" s="31"/>
      <c r="S41" s="31"/>
      <c r="T41" s="31"/>
      <c r="U41" s="31"/>
      <c r="V41" s="31"/>
      <c r="W41" s="31"/>
      <c r="X41" s="31"/>
      <c r="Y41" s="31"/>
      <c r="Z41" s="31"/>
      <c r="AA41" s="31"/>
      <c r="AB41" s="31"/>
      <c r="AC41" s="31"/>
      <c r="AD41" s="31"/>
      <c r="AE41" s="31"/>
      <c r="AF41" s="31"/>
      <c r="AG41" s="31"/>
      <c r="AH41" s="31"/>
      <c r="AI41" s="31" t="str">
        <f>$AI$13</f>
        <v>(35℃）</v>
      </c>
      <c r="AJ41" s="31"/>
      <c r="AK41" s="109" t="str">
        <f>$D$9</f>
        <v>Full</v>
      </c>
      <c r="AL41" s="109"/>
      <c r="AM41" s="109"/>
      <c r="AN41" s="109"/>
      <c r="AO41" s="109"/>
      <c r="AP41" s="109"/>
      <c r="AQ41" s="105" t="s">
        <v>103</v>
      </c>
      <c r="AR41" s="105"/>
      <c r="AS41" s="105"/>
      <c r="AT41" s="105"/>
      <c r="AU41" s="105"/>
      <c r="AV41" s="105"/>
      <c r="AW41" s="105"/>
      <c r="AX41" s="105"/>
      <c r="AY41" s="105"/>
      <c r="AZ41" s="105"/>
      <c r="BA41" s="105"/>
      <c r="BB41" s="105"/>
      <c r="BC41" s="33"/>
      <c r="BD41" s="33"/>
      <c r="BE41" s="34" t="s">
        <v>127</v>
      </c>
      <c r="BF41" s="60"/>
      <c r="BG41" s="34"/>
      <c r="BH41" s="34"/>
      <c r="BI41" s="50"/>
      <c r="BJ41" s="50"/>
      <c r="CB41" s="63">
        <v>24</v>
      </c>
      <c r="CC41" s="63">
        <f>data!$D45</f>
        <v>38</v>
      </c>
      <c r="CD41" s="63">
        <f>data!$E45</f>
        <v>0</v>
      </c>
      <c r="CE41" s="70">
        <f t="shared" si="0"/>
        <v>3636.4613773319998</v>
      </c>
      <c r="CF41" s="71">
        <f t="shared" si="1"/>
        <v>1</v>
      </c>
      <c r="CG41" s="71">
        <f t="shared" si="2"/>
        <v>1</v>
      </c>
      <c r="CH41" s="72">
        <f t="shared" si="3"/>
        <v>2913.7146785872646</v>
      </c>
      <c r="CI41" s="72">
        <f t="shared" si="4"/>
        <v>1725.0311481549993</v>
      </c>
      <c r="CJ41" s="72">
        <f t="shared" si="5"/>
        <v>1725.0311481549993</v>
      </c>
      <c r="CK41" s="70">
        <f t="shared" si="6"/>
        <v>0</v>
      </c>
      <c r="CL41" s="72">
        <f t="shared" si="7"/>
        <v>983.75760000000002</v>
      </c>
      <c r="CM41" s="72">
        <f t="shared" si="8"/>
        <v>456.45000000000005</v>
      </c>
      <c r="CN41" s="72">
        <f t="shared" si="9"/>
        <v>456.45000000000005</v>
      </c>
      <c r="CO41" s="45">
        <f t="shared" si="10"/>
        <v>2.9618217725456604</v>
      </c>
      <c r="CP41" s="45">
        <f t="shared" si="11"/>
        <v>3.7792335374192114</v>
      </c>
      <c r="CQ41" s="45">
        <f t="shared" si="12"/>
        <v>3.7792335374192114</v>
      </c>
      <c r="CR41" s="45">
        <f t="shared" si="13"/>
        <v>0</v>
      </c>
      <c r="CS41" s="45">
        <f t="shared" si="14"/>
        <v>0</v>
      </c>
      <c r="CT41" s="45">
        <f t="shared" si="15"/>
        <v>0</v>
      </c>
      <c r="CU41" s="45">
        <f t="shared" si="16"/>
        <v>2.9618217725456604</v>
      </c>
      <c r="CV41" s="72">
        <f t="shared" si="17"/>
        <v>0</v>
      </c>
      <c r="CW41" s="72">
        <f t="shared" si="18"/>
        <v>0</v>
      </c>
      <c r="CX41" s="72">
        <f t="shared" si="19"/>
        <v>0</v>
      </c>
      <c r="CY41" s="72">
        <f t="shared" si="20"/>
        <v>983.75760000000002</v>
      </c>
      <c r="CZ41" s="70">
        <f t="shared" si="21"/>
        <v>0</v>
      </c>
    </row>
    <row r="42" spans="1:104" ht="12" customHeight="1">
      <c r="A42" s="31"/>
      <c r="B42" s="31"/>
      <c r="C42" s="31"/>
      <c r="D42" s="31"/>
      <c r="E42" s="31"/>
      <c r="F42" s="31"/>
      <c r="G42" s="31"/>
      <c r="H42" s="31"/>
      <c r="I42" s="31"/>
      <c r="J42" s="31"/>
      <c r="K42" s="31"/>
      <c r="L42" s="31"/>
      <c r="M42" s="31"/>
      <c r="N42" s="31"/>
      <c r="O42" s="31"/>
      <c r="P42" s="31"/>
      <c r="Q42" s="31"/>
      <c r="R42" s="31"/>
      <c r="S42" s="31"/>
      <c r="T42" s="31"/>
      <c r="U42" s="108" t="str">
        <f>$U$17</f>
        <v>CD</v>
      </c>
      <c r="V42" s="108"/>
      <c r="W42" s="108"/>
      <c r="X42" s="108"/>
      <c r="Y42" s="142">
        <f>'Variable Capacity unit'!$CH$114</f>
        <v>0.27</v>
      </c>
      <c r="Z42" s="143"/>
      <c r="AA42" s="143"/>
      <c r="AB42" s="144"/>
      <c r="AC42" s="142">
        <f>'Variable Capacity unit'!CH174</f>
        <v>0.27</v>
      </c>
      <c r="AD42" s="143"/>
      <c r="AE42" s="143"/>
      <c r="AF42" s="144"/>
      <c r="AG42" s="31"/>
      <c r="AH42" s="31"/>
      <c r="AI42" s="31"/>
      <c r="AJ42" s="31"/>
      <c r="AK42" s="109" t="str">
        <f>$D$10</f>
        <v>Half</v>
      </c>
      <c r="AL42" s="109"/>
      <c r="AM42" s="109"/>
      <c r="AN42" s="109"/>
      <c r="AO42" s="109"/>
      <c r="AP42" s="109"/>
      <c r="AQ42" s="120" t="s">
        <v>103</v>
      </c>
      <c r="AR42" s="120"/>
      <c r="AS42" s="120"/>
      <c r="AT42" s="120"/>
      <c r="AU42" s="120"/>
      <c r="AV42" s="120"/>
      <c r="AW42" s="120"/>
      <c r="AX42" s="120"/>
      <c r="AY42" s="120"/>
      <c r="AZ42" s="120"/>
      <c r="BA42" s="120"/>
      <c r="BB42" s="120"/>
      <c r="BC42" s="33"/>
      <c r="BD42" s="33"/>
      <c r="BE42" s="34" t="s">
        <v>127</v>
      </c>
      <c r="BF42" s="60"/>
      <c r="BG42" s="34"/>
      <c r="BH42" s="34"/>
      <c r="BI42" s="50"/>
      <c r="BJ42" s="50"/>
      <c r="CB42" s="63">
        <v>25</v>
      </c>
      <c r="CC42" s="63">
        <f>data!$D46</f>
        <v>39</v>
      </c>
      <c r="CD42" s="63">
        <f>data!$E46</f>
        <v>0</v>
      </c>
      <c r="CE42" s="70">
        <f t="shared" si="0"/>
        <v>3838.4870094059997</v>
      </c>
      <c r="CF42" s="71">
        <f t="shared" si="1"/>
        <v>1</v>
      </c>
      <c r="CG42" s="71">
        <f t="shared" si="2"/>
        <v>1</v>
      </c>
      <c r="CH42" s="72">
        <f t="shared" si="3"/>
        <v>2874.8247444130197</v>
      </c>
      <c r="CI42" s="72">
        <f t="shared" si="4"/>
        <v>1765.9780653433327</v>
      </c>
      <c r="CJ42" s="72">
        <f t="shared" si="5"/>
        <v>1765.9780653433327</v>
      </c>
      <c r="CK42" s="70">
        <f t="shared" si="6"/>
        <v>0</v>
      </c>
      <c r="CL42" s="72">
        <f t="shared" si="7"/>
        <v>997.27679999999998</v>
      </c>
      <c r="CM42" s="72">
        <f t="shared" si="8"/>
        <v>480.73333333333335</v>
      </c>
      <c r="CN42" s="72">
        <f t="shared" si="9"/>
        <v>480.73333333333335</v>
      </c>
      <c r="CO42" s="45">
        <f t="shared" si="10"/>
        <v>2.8826748445496975</v>
      </c>
      <c r="CP42" s="45">
        <f t="shared" si="11"/>
        <v>3.6735086645610857</v>
      </c>
      <c r="CQ42" s="45">
        <f t="shared" si="12"/>
        <v>3.6735086645610857</v>
      </c>
      <c r="CR42" s="45">
        <f t="shared" si="13"/>
        <v>0</v>
      </c>
      <c r="CS42" s="45">
        <f t="shared" si="14"/>
        <v>0</v>
      </c>
      <c r="CT42" s="45">
        <f t="shared" si="15"/>
        <v>0</v>
      </c>
      <c r="CU42" s="45">
        <f t="shared" si="16"/>
        <v>2.8826748445496975</v>
      </c>
      <c r="CV42" s="72">
        <f t="shared" si="17"/>
        <v>0</v>
      </c>
      <c r="CW42" s="72">
        <f t="shared" si="18"/>
        <v>0</v>
      </c>
      <c r="CX42" s="72">
        <f t="shared" si="19"/>
        <v>0</v>
      </c>
      <c r="CY42" s="72">
        <f t="shared" si="20"/>
        <v>997.27679999999998</v>
      </c>
      <c r="CZ42" s="70">
        <f t="shared" si="21"/>
        <v>0</v>
      </c>
    </row>
    <row r="43" spans="1:104" ht="12" customHeight="1">
      <c r="A43" s="31"/>
      <c r="B43" s="31"/>
      <c r="C43" s="31"/>
      <c r="D43" s="31" t="s">
        <v>94</v>
      </c>
      <c r="E43" s="31"/>
      <c r="F43" s="31"/>
      <c r="G43" s="31"/>
      <c r="H43" s="31"/>
      <c r="I43" s="31"/>
      <c r="J43" s="31"/>
      <c r="K43" s="31"/>
      <c r="L43" s="31"/>
      <c r="M43" s="31"/>
      <c r="N43" s="31"/>
      <c r="O43" s="31"/>
      <c r="P43" s="31"/>
      <c r="Q43" s="31"/>
      <c r="R43" s="31"/>
      <c r="S43" s="31"/>
      <c r="T43" s="31"/>
      <c r="U43" s="31"/>
      <c r="V43" s="31"/>
      <c r="W43" s="31"/>
      <c r="X43" s="31"/>
      <c r="Y43" s="31"/>
      <c r="Z43" s="31"/>
      <c r="AA43" s="31"/>
      <c r="AB43" s="31"/>
      <c r="AC43" s="31"/>
      <c r="AD43" s="31"/>
      <c r="AE43" s="31"/>
      <c r="AF43" s="31"/>
      <c r="AG43" s="31"/>
      <c r="AH43" s="31"/>
      <c r="AI43" s="31"/>
      <c r="AJ43" s="31"/>
      <c r="AK43" s="109" t="str">
        <f>$D$11</f>
        <v>Minimum</v>
      </c>
      <c r="AL43" s="109"/>
      <c r="AM43" s="109"/>
      <c r="AN43" s="109"/>
      <c r="AO43" s="109"/>
      <c r="AP43" s="123"/>
      <c r="AQ43" s="57"/>
      <c r="AR43" s="101" t="s">
        <v>105</v>
      </c>
      <c r="AS43" s="101"/>
      <c r="AT43" s="101"/>
      <c r="AU43" s="101"/>
      <c r="AV43" s="102"/>
      <c r="AW43" s="57"/>
      <c r="AX43" s="101" t="s">
        <v>106</v>
      </c>
      <c r="AY43" s="101"/>
      <c r="AZ43" s="101"/>
      <c r="BA43" s="101"/>
      <c r="BB43" s="102"/>
      <c r="BC43" s="81">
        <v>1</v>
      </c>
      <c r="BD43" s="33" t="str">
        <f>IF(AND($BC$32=2,$BC$36=2),"Measure","Default")</f>
        <v>Default</v>
      </c>
      <c r="BE43" s="34" t="s">
        <v>127</v>
      </c>
      <c r="BF43" s="60"/>
      <c r="BG43" s="34"/>
      <c r="BH43" s="34"/>
      <c r="BI43" s="50"/>
      <c r="BJ43" s="50"/>
      <c r="CB43" s="63">
        <v>26</v>
      </c>
      <c r="CC43" s="63">
        <f>data!$D47</f>
        <v>40</v>
      </c>
      <c r="CD43" s="63">
        <f>data!$E47</f>
        <v>0</v>
      </c>
      <c r="CE43" s="70">
        <f t="shared" si="0"/>
        <v>4040.5126414799993</v>
      </c>
      <c r="CF43" s="71">
        <f t="shared" si="1"/>
        <v>1</v>
      </c>
      <c r="CG43" s="71">
        <f t="shared" si="2"/>
        <v>1</v>
      </c>
      <c r="CH43" s="72">
        <f t="shared" si="3"/>
        <v>2835.9348102387748</v>
      </c>
      <c r="CI43" s="72">
        <f t="shared" si="4"/>
        <v>1806.924982531666</v>
      </c>
      <c r="CJ43" s="72">
        <f t="shared" si="5"/>
        <v>1806.924982531666</v>
      </c>
      <c r="CK43" s="70">
        <f t="shared" si="6"/>
        <v>0</v>
      </c>
      <c r="CL43" s="72">
        <f t="shared" si="7"/>
        <v>1010.796</v>
      </c>
      <c r="CM43" s="72">
        <f t="shared" si="8"/>
        <v>505.01666666666671</v>
      </c>
      <c r="CN43" s="72">
        <f t="shared" si="9"/>
        <v>505.01666666666671</v>
      </c>
      <c r="CO43" s="45">
        <f t="shared" si="10"/>
        <v>2.8056450661051042</v>
      </c>
      <c r="CP43" s="45">
        <f t="shared" si="11"/>
        <v>3.5779511881423041</v>
      </c>
      <c r="CQ43" s="45">
        <f t="shared" si="12"/>
        <v>3.5779511881423041</v>
      </c>
      <c r="CR43" s="45">
        <f t="shared" si="13"/>
        <v>0</v>
      </c>
      <c r="CS43" s="45">
        <f t="shared" si="14"/>
        <v>0</v>
      </c>
      <c r="CT43" s="45">
        <f t="shared" si="15"/>
        <v>0</v>
      </c>
      <c r="CU43" s="45">
        <f t="shared" si="16"/>
        <v>2.8056450661051042</v>
      </c>
      <c r="CV43" s="72">
        <f t="shared" si="17"/>
        <v>0</v>
      </c>
      <c r="CW43" s="72">
        <f t="shared" si="18"/>
        <v>0</v>
      </c>
      <c r="CX43" s="72">
        <f t="shared" si="19"/>
        <v>0</v>
      </c>
      <c r="CY43" s="72">
        <f t="shared" si="20"/>
        <v>1010.7959999999999</v>
      </c>
      <c r="CZ43" s="70">
        <f t="shared" si="21"/>
        <v>0</v>
      </c>
    </row>
    <row r="44" spans="1:104" ht="12" customHeight="1">
      <c r="A44" s="31"/>
      <c r="B44" s="31"/>
      <c r="C44" s="31"/>
      <c r="D44" s="31"/>
      <c r="E44" s="31"/>
      <c r="F44" s="31"/>
      <c r="G44" s="31"/>
      <c r="H44" s="132" t="str">
        <f>$H$8</f>
        <v>Capacity [W]</v>
      </c>
      <c r="I44" s="132"/>
      <c r="J44" s="132"/>
      <c r="K44" s="132"/>
      <c r="L44" s="132" t="str">
        <f>$L$8</f>
        <v>Power [W]</v>
      </c>
      <c r="M44" s="132"/>
      <c r="N44" s="132"/>
      <c r="O44" s="132"/>
      <c r="P44" s="103" t="str">
        <f>$P$8</f>
        <v>EER</v>
      </c>
      <c r="Q44" s="104"/>
      <c r="R44" s="31"/>
      <c r="S44" s="31"/>
      <c r="T44" s="31"/>
      <c r="U44" s="31"/>
      <c r="V44" s="31"/>
      <c r="W44" s="31"/>
      <c r="X44" s="31"/>
      <c r="Y44" s="31"/>
      <c r="Z44" s="31"/>
      <c r="AA44" s="31"/>
      <c r="AB44" s="31"/>
      <c r="AC44" s="31"/>
      <c r="AD44" s="31"/>
      <c r="AE44" s="31"/>
      <c r="AF44" s="31"/>
      <c r="AG44" s="31"/>
      <c r="AH44" s="31"/>
      <c r="AI44" s="31" t="str">
        <f>$AI$16</f>
        <v>(29℃）</v>
      </c>
      <c r="AJ44" s="31"/>
      <c r="AK44" s="109" t="str">
        <f>$D$9</f>
        <v>Full</v>
      </c>
      <c r="AL44" s="109"/>
      <c r="AM44" s="109"/>
      <c r="AN44" s="109"/>
      <c r="AO44" s="109"/>
      <c r="AP44" s="109"/>
      <c r="AQ44" s="121" t="s">
        <v>104</v>
      </c>
      <c r="AR44" s="121"/>
      <c r="AS44" s="121"/>
      <c r="AT44" s="121"/>
      <c r="AU44" s="121"/>
      <c r="AV44" s="121"/>
      <c r="AW44" s="121"/>
      <c r="AX44" s="121"/>
      <c r="AY44" s="121"/>
      <c r="AZ44" s="121"/>
      <c r="BA44" s="121"/>
      <c r="BB44" s="121"/>
      <c r="BC44" s="33"/>
      <c r="BD44" s="33"/>
      <c r="BE44" s="34" t="s">
        <v>127</v>
      </c>
      <c r="BF44" s="60"/>
      <c r="BG44" s="34"/>
      <c r="BH44" s="34"/>
      <c r="BI44" s="50"/>
      <c r="BJ44" s="50"/>
      <c r="CB44" s="63">
        <v>27</v>
      </c>
      <c r="CC44" s="63">
        <f>data!$D48</f>
        <v>41</v>
      </c>
      <c r="CD44" s="63">
        <f>data!$E48</f>
        <v>0</v>
      </c>
      <c r="CE44" s="70">
        <f t="shared" si="0"/>
        <v>4242.5382735539997</v>
      </c>
      <c r="CF44" s="71">
        <f t="shared" si="1"/>
        <v>1</v>
      </c>
      <c r="CG44" s="71">
        <f t="shared" si="2"/>
        <v>1</v>
      </c>
      <c r="CH44" s="72">
        <f t="shared" si="3"/>
        <v>2797.0448760645299</v>
      </c>
      <c r="CI44" s="72">
        <f t="shared" si="4"/>
        <v>1847.8718997199992</v>
      </c>
      <c r="CJ44" s="72">
        <f t="shared" si="5"/>
        <v>1847.8718997199992</v>
      </c>
      <c r="CK44" s="70">
        <f t="shared" si="6"/>
        <v>0</v>
      </c>
      <c r="CL44" s="72">
        <f t="shared" si="7"/>
        <v>1024.3152</v>
      </c>
      <c r="CM44" s="72">
        <f t="shared" si="8"/>
        <v>529.30000000000007</v>
      </c>
      <c r="CN44" s="72">
        <f t="shared" si="9"/>
        <v>529.30000000000007</v>
      </c>
      <c r="CO44" s="45">
        <f t="shared" si="10"/>
        <v>2.7306486090068076</v>
      </c>
      <c r="CP44" s="45">
        <f t="shared" si="11"/>
        <v>3.4911617225014151</v>
      </c>
      <c r="CQ44" s="45">
        <f t="shared" si="12"/>
        <v>3.4911617225014151</v>
      </c>
      <c r="CR44" s="45">
        <f t="shared" si="13"/>
        <v>0</v>
      </c>
      <c r="CS44" s="45">
        <f t="shared" si="14"/>
        <v>0</v>
      </c>
      <c r="CT44" s="45">
        <f t="shared" si="15"/>
        <v>0</v>
      </c>
      <c r="CU44" s="45">
        <f t="shared" si="16"/>
        <v>2.7306486090068076</v>
      </c>
      <c r="CV44" s="72">
        <f t="shared" si="17"/>
        <v>0</v>
      </c>
      <c r="CW44" s="72">
        <f t="shared" si="18"/>
        <v>0</v>
      </c>
      <c r="CX44" s="72">
        <f t="shared" si="19"/>
        <v>0</v>
      </c>
      <c r="CY44" s="72">
        <f t="shared" si="20"/>
        <v>1024.3152</v>
      </c>
      <c r="CZ44" s="70">
        <f t="shared" si="21"/>
        <v>0</v>
      </c>
    </row>
    <row r="45" spans="1:104" ht="12" customHeight="1">
      <c r="A45" s="31"/>
      <c r="B45" s="31"/>
      <c r="C45" s="31"/>
      <c r="D45" s="123" t="str">
        <f>$D$9</f>
        <v>Full</v>
      </c>
      <c r="E45" s="124"/>
      <c r="F45" s="124"/>
      <c r="G45" s="125"/>
      <c r="H45" s="141">
        <v>5900</v>
      </c>
      <c r="I45" s="141"/>
      <c r="J45" s="141"/>
      <c r="K45" s="141"/>
      <c r="L45" s="141">
        <v>1400</v>
      </c>
      <c r="M45" s="141"/>
      <c r="N45" s="141"/>
      <c r="O45" s="141"/>
      <c r="P45" s="148">
        <f>'Variable Capacity unit'!$CC$127</f>
        <v>4.2637193366348036</v>
      </c>
      <c r="Q45" s="149"/>
      <c r="R45" s="31"/>
      <c r="S45" s="31"/>
      <c r="T45" s="31"/>
      <c r="U45" s="31"/>
      <c r="V45" s="31"/>
      <c r="W45" s="31"/>
      <c r="X45" s="31"/>
      <c r="Y45" s="31"/>
      <c r="Z45" s="31"/>
      <c r="AA45" s="31"/>
      <c r="AB45" s="31"/>
      <c r="AC45" s="31"/>
      <c r="AD45" s="31"/>
      <c r="AE45" s="31"/>
      <c r="AF45" s="31"/>
      <c r="AG45" s="31"/>
      <c r="AH45" s="31"/>
      <c r="AI45" s="31"/>
      <c r="AJ45" s="31"/>
      <c r="AK45" s="109" t="str">
        <f>$D$10</f>
        <v>Half</v>
      </c>
      <c r="AL45" s="109"/>
      <c r="AM45" s="109"/>
      <c r="AN45" s="109"/>
      <c r="AO45" s="109"/>
      <c r="AP45" s="109"/>
      <c r="AQ45" s="57"/>
      <c r="AR45" s="101" t="s">
        <v>104</v>
      </c>
      <c r="AS45" s="101"/>
      <c r="AT45" s="101"/>
      <c r="AU45" s="101"/>
      <c r="AV45" s="102"/>
      <c r="AW45" s="57"/>
      <c r="AX45" s="101" t="s">
        <v>103</v>
      </c>
      <c r="AY45" s="101"/>
      <c r="AZ45" s="101"/>
      <c r="BA45" s="101"/>
      <c r="BB45" s="102"/>
      <c r="BC45" s="81">
        <v>1</v>
      </c>
      <c r="BD45" s="33" t="str">
        <f>IF($BC$32=2,IF($BC$45=2,"Measure","Default"),"Default")</f>
        <v>Default</v>
      </c>
      <c r="BE45" s="34" t="s">
        <v>127</v>
      </c>
      <c r="BF45" s="60"/>
      <c r="BG45" s="34"/>
      <c r="BH45" s="34"/>
      <c r="BI45" s="50"/>
      <c r="BJ45" s="50"/>
      <c r="CB45" s="63">
        <v>28</v>
      </c>
      <c r="CC45" s="63">
        <f>data!$D49</f>
        <v>42</v>
      </c>
      <c r="CD45" s="63">
        <f>data!$E49</f>
        <v>0</v>
      </c>
      <c r="CE45" s="70">
        <f t="shared" si="0"/>
        <v>4444.5639056279997</v>
      </c>
      <c r="CF45" s="71">
        <f t="shared" si="1"/>
        <v>1</v>
      </c>
      <c r="CG45" s="71">
        <f t="shared" si="2"/>
        <v>1</v>
      </c>
      <c r="CH45" s="72">
        <f t="shared" si="3"/>
        <v>2758.154941890285</v>
      </c>
      <c r="CI45" s="72">
        <f t="shared" si="4"/>
        <v>1888.8188169083323</v>
      </c>
      <c r="CJ45" s="72">
        <f t="shared" si="5"/>
        <v>1888.8188169083323</v>
      </c>
      <c r="CK45" s="70">
        <f t="shared" si="6"/>
        <v>0</v>
      </c>
      <c r="CL45" s="72">
        <f t="shared" si="7"/>
        <v>1037.8344</v>
      </c>
      <c r="CM45" s="72">
        <f t="shared" si="8"/>
        <v>553.58333333333337</v>
      </c>
      <c r="CN45" s="72">
        <f t="shared" si="9"/>
        <v>553.58333333333337</v>
      </c>
      <c r="CO45" s="45">
        <f t="shared" si="10"/>
        <v>2.6576060129537864</v>
      </c>
      <c r="CP45" s="45">
        <f t="shared" si="11"/>
        <v>3.4119864222339285</v>
      </c>
      <c r="CQ45" s="45">
        <f t="shared" si="12"/>
        <v>3.4119864222339285</v>
      </c>
      <c r="CR45" s="45">
        <f t="shared" si="13"/>
        <v>0</v>
      </c>
      <c r="CS45" s="45">
        <f t="shared" si="14"/>
        <v>0</v>
      </c>
      <c r="CT45" s="45">
        <f t="shared" si="15"/>
        <v>0</v>
      </c>
      <c r="CU45" s="45">
        <f t="shared" si="16"/>
        <v>2.6576060129537864</v>
      </c>
      <c r="CV45" s="72">
        <f t="shared" si="17"/>
        <v>0</v>
      </c>
      <c r="CW45" s="72">
        <f t="shared" si="18"/>
        <v>0</v>
      </c>
      <c r="CX45" s="72">
        <f t="shared" si="19"/>
        <v>0</v>
      </c>
      <c r="CY45" s="72">
        <f t="shared" si="20"/>
        <v>1037.8344</v>
      </c>
      <c r="CZ45" s="70">
        <f t="shared" si="21"/>
        <v>0</v>
      </c>
    </row>
    <row r="46" spans="1:104" ht="12" customHeight="1">
      <c r="A46" s="31"/>
      <c r="B46" s="31"/>
      <c r="C46" s="31"/>
      <c r="D46" s="123" t="str">
        <f>$D$10</f>
        <v>Half</v>
      </c>
      <c r="E46" s="124"/>
      <c r="F46" s="124"/>
      <c r="G46" s="125"/>
      <c r="H46" s="140">
        <v>2850</v>
      </c>
      <c r="I46" s="140"/>
      <c r="J46" s="140"/>
      <c r="K46" s="140"/>
      <c r="L46" s="140">
        <v>580</v>
      </c>
      <c r="M46" s="140"/>
      <c r="N46" s="140"/>
      <c r="O46" s="140"/>
      <c r="P46" s="147">
        <f>$H$46/$L$46</f>
        <v>4.9137931034482758</v>
      </c>
      <c r="Q46" s="147"/>
      <c r="R46" s="31"/>
      <c r="S46" s="31"/>
      <c r="T46" s="31"/>
      <c r="U46" s="31"/>
      <c r="V46" s="31"/>
      <c r="W46" s="31"/>
      <c r="X46" s="31"/>
      <c r="Y46" s="31"/>
      <c r="Z46" s="31"/>
      <c r="AA46" s="31"/>
      <c r="AB46" s="31"/>
      <c r="AC46" s="31"/>
      <c r="AD46" s="31"/>
      <c r="AE46" s="31"/>
      <c r="AF46" s="31"/>
      <c r="AG46" s="31"/>
      <c r="AH46" s="31"/>
      <c r="AI46" s="31"/>
      <c r="AJ46" s="31"/>
      <c r="AK46" s="109" t="str">
        <f>$D$11</f>
        <v>Minimum</v>
      </c>
      <c r="AL46" s="109"/>
      <c r="AM46" s="109"/>
      <c r="AN46" s="109"/>
      <c r="AO46" s="109"/>
      <c r="AP46" s="109"/>
      <c r="AQ46" s="57"/>
      <c r="AR46" s="101" t="s">
        <v>104</v>
      </c>
      <c r="AS46" s="101"/>
      <c r="AT46" s="101"/>
      <c r="AU46" s="101"/>
      <c r="AV46" s="102"/>
      <c r="AW46" s="57"/>
      <c r="AX46" s="101" t="s">
        <v>103</v>
      </c>
      <c r="AY46" s="101"/>
      <c r="AZ46" s="101"/>
      <c r="BA46" s="101"/>
      <c r="BB46" s="102"/>
      <c r="BC46" s="81">
        <v>1</v>
      </c>
      <c r="BD46" s="33" t="str">
        <f>IF(AND($BC32=2,$BC$36=2),IF($BC$46=2,"Measure","Default"),"Default")</f>
        <v>Default</v>
      </c>
      <c r="BE46" s="34" t="s">
        <v>127</v>
      </c>
      <c r="BF46" s="60"/>
      <c r="BG46" s="34"/>
      <c r="BH46" s="34"/>
      <c r="BI46" s="50"/>
      <c r="BJ46" s="50"/>
      <c r="CB46" s="63">
        <v>29</v>
      </c>
      <c r="CC46" s="63">
        <f>data!$D50</f>
        <v>43</v>
      </c>
      <c r="CD46" s="63">
        <f>data!$E50</f>
        <v>0</v>
      </c>
      <c r="CE46" s="70">
        <f t="shared" si="0"/>
        <v>4646.5895377019997</v>
      </c>
      <c r="CF46" s="71">
        <f t="shared" si="1"/>
        <v>1</v>
      </c>
      <c r="CG46" s="71">
        <f t="shared" si="2"/>
        <v>1</v>
      </c>
      <c r="CH46" s="72">
        <f t="shared" si="3"/>
        <v>2719.2650077160401</v>
      </c>
      <c r="CI46" s="72">
        <f t="shared" si="4"/>
        <v>1929.7657340966657</v>
      </c>
      <c r="CJ46" s="72">
        <f t="shared" si="5"/>
        <v>1929.7657340966657</v>
      </c>
      <c r="CK46" s="70">
        <f t="shared" si="6"/>
        <v>0</v>
      </c>
      <c r="CL46" s="72">
        <f t="shared" si="7"/>
        <v>1051.3535999999999</v>
      </c>
      <c r="CM46" s="72">
        <f t="shared" si="8"/>
        <v>577.86666666666667</v>
      </c>
      <c r="CN46" s="72">
        <f t="shared" si="9"/>
        <v>577.86666666666667</v>
      </c>
      <c r="CO46" s="45">
        <f t="shared" si="10"/>
        <v>2.5864419047179181</v>
      </c>
      <c r="CP46" s="45">
        <f t="shared" si="11"/>
        <v>3.339465391260958</v>
      </c>
      <c r="CQ46" s="45">
        <f t="shared" si="12"/>
        <v>3.339465391260958</v>
      </c>
      <c r="CR46" s="45">
        <f t="shared" si="13"/>
        <v>0</v>
      </c>
      <c r="CS46" s="45">
        <f t="shared" si="14"/>
        <v>0</v>
      </c>
      <c r="CT46" s="45">
        <f t="shared" si="15"/>
        <v>0</v>
      </c>
      <c r="CU46" s="45">
        <f t="shared" si="16"/>
        <v>2.5864419047179181</v>
      </c>
      <c r="CV46" s="72">
        <f t="shared" si="17"/>
        <v>0</v>
      </c>
      <c r="CW46" s="72">
        <f t="shared" si="18"/>
        <v>0</v>
      </c>
      <c r="CX46" s="72">
        <f t="shared" si="19"/>
        <v>0</v>
      </c>
      <c r="CY46" s="72">
        <f t="shared" si="20"/>
        <v>1051.3535999999999</v>
      </c>
      <c r="CZ46" s="70">
        <f t="shared" si="21"/>
        <v>0</v>
      </c>
    </row>
    <row r="47" spans="1:104" ht="12" customHeight="1">
      <c r="A47" s="31"/>
      <c r="B47" s="31"/>
      <c r="C47" s="31"/>
      <c r="D47" s="123" t="str">
        <f>$D$11</f>
        <v>Minimum</v>
      </c>
      <c r="E47" s="124"/>
      <c r="F47" s="124"/>
      <c r="G47" s="125"/>
      <c r="H47" s="140">
        <v>1650</v>
      </c>
      <c r="I47" s="140"/>
      <c r="J47" s="140"/>
      <c r="K47" s="140"/>
      <c r="L47" s="140">
        <v>290</v>
      </c>
      <c r="M47" s="140"/>
      <c r="N47" s="140"/>
      <c r="O47" s="140"/>
      <c r="P47" s="147">
        <f>$H$47/$L$47</f>
        <v>5.6896551724137927</v>
      </c>
      <c r="Q47" s="108"/>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112" t="s">
        <v>123</v>
      </c>
      <c r="AR47" s="112"/>
      <c r="AS47" s="112"/>
      <c r="AT47" s="112"/>
      <c r="AU47" s="112"/>
      <c r="AV47" s="112"/>
      <c r="AW47" s="112"/>
      <c r="AX47" s="112"/>
      <c r="AY47" s="112"/>
      <c r="AZ47" s="112"/>
      <c r="BA47" s="112"/>
      <c r="BB47" s="112"/>
      <c r="BC47" s="33"/>
      <c r="BD47" s="33"/>
      <c r="BE47" s="34" t="s">
        <v>127</v>
      </c>
      <c r="BF47" s="60"/>
      <c r="BG47" s="34"/>
      <c r="BH47" s="34"/>
      <c r="BI47" s="50"/>
      <c r="BJ47" s="50"/>
      <c r="BK47" s="50"/>
      <c r="BL47" s="50"/>
      <c r="BM47" s="50"/>
      <c r="BN47" s="50"/>
      <c r="BO47" s="50"/>
      <c r="BP47" s="50"/>
      <c r="CB47" s="63">
        <v>30</v>
      </c>
      <c r="CC47" s="63">
        <f>data!$D51</f>
        <v>44</v>
      </c>
      <c r="CD47" s="63">
        <f>data!$E51</f>
        <v>0</v>
      </c>
      <c r="CE47" s="70">
        <f t="shared" si="0"/>
        <v>4848.6151697760006</v>
      </c>
      <c r="CF47" s="71">
        <f t="shared" si="1"/>
        <v>1</v>
      </c>
      <c r="CG47" s="71">
        <f t="shared" si="2"/>
        <v>1</v>
      </c>
      <c r="CH47" s="72">
        <f t="shared" si="3"/>
        <v>2680.3750735417952</v>
      </c>
      <c r="CI47" s="72">
        <f t="shared" si="4"/>
        <v>1970.7126512849991</v>
      </c>
      <c r="CJ47" s="72">
        <f t="shared" si="5"/>
        <v>1970.7126512849991</v>
      </c>
      <c r="CK47" s="70">
        <f t="shared" si="6"/>
        <v>0</v>
      </c>
      <c r="CL47" s="72">
        <f t="shared" si="7"/>
        <v>1064.8728000000001</v>
      </c>
      <c r="CM47" s="72">
        <f t="shared" si="8"/>
        <v>602.15000000000009</v>
      </c>
      <c r="CN47" s="72">
        <f t="shared" si="9"/>
        <v>602.15000000000009</v>
      </c>
      <c r="CO47" s="45">
        <f t="shared" si="10"/>
        <v>2.5170847387047495</v>
      </c>
      <c r="CP47" s="45">
        <f t="shared" si="11"/>
        <v>3.2727935751639938</v>
      </c>
      <c r="CQ47" s="45">
        <f t="shared" si="12"/>
        <v>3.2727935751639938</v>
      </c>
      <c r="CR47" s="45">
        <f t="shared" si="13"/>
        <v>0</v>
      </c>
      <c r="CS47" s="45">
        <f t="shared" si="14"/>
        <v>0</v>
      </c>
      <c r="CT47" s="45">
        <f t="shared" si="15"/>
        <v>0</v>
      </c>
      <c r="CU47" s="45">
        <f t="shared" si="16"/>
        <v>2.5170847387047495</v>
      </c>
      <c r="CV47" s="72">
        <f t="shared" si="17"/>
        <v>0</v>
      </c>
      <c r="CW47" s="72">
        <f t="shared" si="18"/>
        <v>0</v>
      </c>
      <c r="CX47" s="72">
        <f t="shared" si="19"/>
        <v>0</v>
      </c>
      <c r="CY47" s="72">
        <f t="shared" si="20"/>
        <v>1064.8728000000001</v>
      </c>
      <c r="CZ47" s="70">
        <f t="shared" si="21"/>
        <v>0</v>
      </c>
    </row>
    <row r="48" spans="1:104" ht="12" customHeight="1">
      <c r="A48" s="31"/>
      <c r="B48" s="31"/>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113"/>
      <c r="AR48" s="113"/>
      <c r="AS48" s="113"/>
      <c r="AT48" s="113"/>
      <c r="AU48" s="113"/>
      <c r="AV48" s="113"/>
      <c r="AW48" s="113"/>
      <c r="AX48" s="113"/>
      <c r="AY48" s="113"/>
      <c r="AZ48" s="113"/>
      <c r="BA48" s="113"/>
      <c r="BB48" s="113"/>
      <c r="BC48" s="33"/>
      <c r="BD48" s="33"/>
      <c r="BE48" s="34" t="s">
        <v>127</v>
      </c>
      <c r="BF48" s="60"/>
      <c r="BG48" s="34"/>
      <c r="BH48" s="34"/>
      <c r="BI48" s="50"/>
      <c r="BJ48" s="50"/>
      <c r="BK48" s="50"/>
      <c r="BL48" s="50"/>
      <c r="BM48" s="50"/>
      <c r="BN48" s="50"/>
      <c r="BO48" s="50"/>
      <c r="BP48" s="50"/>
      <c r="CB48" s="63">
        <v>31</v>
      </c>
      <c r="CC48" s="63">
        <f>data!$D52</f>
        <v>45</v>
      </c>
      <c r="CD48" s="63">
        <f>data!$E52</f>
        <v>0</v>
      </c>
      <c r="CE48" s="70">
        <f t="shared" si="0"/>
        <v>5050.6408018499997</v>
      </c>
      <c r="CF48" s="71">
        <f t="shared" si="1"/>
        <v>1</v>
      </c>
      <c r="CG48" s="71">
        <f t="shared" si="2"/>
        <v>1</v>
      </c>
      <c r="CH48" s="72">
        <f t="shared" si="3"/>
        <v>2641.4851393675499</v>
      </c>
      <c r="CI48" s="72">
        <f t="shared" si="4"/>
        <v>2011.6595684733322</v>
      </c>
      <c r="CJ48" s="72">
        <f t="shared" si="5"/>
        <v>2011.6595684733322</v>
      </c>
      <c r="CK48" s="70">
        <f t="shared" si="6"/>
        <v>0</v>
      </c>
      <c r="CL48" s="72">
        <f t="shared" si="7"/>
        <v>1078.3920000000001</v>
      </c>
      <c r="CM48" s="72">
        <f t="shared" si="8"/>
        <v>626.43333333333339</v>
      </c>
      <c r="CN48" s="72">
        <f t="shared" si="9"/>
        <v>626.43333333333339</v>
      </c>
      <c r="CO48" s="45">
        <f t="shared" si="10"/>
        <v>2.4494665570289373</v>
      </c>
      <c r="CP48" s="45">
        <f t="shared" si="11"/>
        <v>3.2112907494386187</v>
      </c>
      <c r="CQ48" s="45">
        <f t="shared" si="12"/>
        <v>3.2112907494386187</v>
      </c>
      <c r="CR48" s="45">
        <f t="shared" si="13"/>
        <v>0</v>
      </c>
      <c r="CS48" s="45">
        <f t="shared" si="14"/>
        <v>0</v>
      </c>
      <c r="CT48" s="45">
        <f t="shared" si="15"/>
        <v>0</v>
      </c>
      <c r="CU48" s="45">
        <f t="shared" si="16"/>
        <v>2.4494665570289373</v>
      </c>
      <c r="CV48" s="72">
        <f t="shared" si="17"/>
        <v>0</v>
      </c>
      <c r="CW48" s="72">
        <f t="shared" si="18"/>
        <v>0</v>
      </c>
      <c r="CX48" s="72">
        <f t="shared" si="19"/>
        <v>0</v>
      </c>
      <c r="CY48" s="72">
        <f t="shared" si="20"/>
        <v>1078.3920000000001</v>
      </c>
      <c r="CZ48" s="70">
        <f>IF(CF48=0,0,$CG48*$CV48*$CD48/$CF48+$CW48*$CD48+$CX48*$CD48+$CY48*$CD48)</f>
        <v>0</v>
      </c>
    </row>
    <row r="49" spans="1:104" ht="12" customHeight="1">
      <c r="A49" s="31"/>
      <c r="B49" s="31"/>
      <c r="C49" s="31"/>
      <c r="D49" s="31" t="s">
        <v>107</v>
      </c>
      <c r="E49" s="31"/>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73" t="s">
        <v>125</v>
      </c>
      <c r="AJ49" s="31"/>
      <c r="AK49" s="31"/>
      <c r="AL49" s="31"/>
      <c r="AM49" s="31"/>
      <c r="AN49" s="31"/>
      <c r="AO49" s="31"/>
      <c r="AP49" s="31"/>
      <c r="AQ49" s="114"/>
      <c r="AR49" s="114"/>
      <c r="AS49" s="114"/>
      <c r="AT49" s="114"/>
      <c r="AU49" s="114"/>
      <c r="AV49" s="114"/>
      <c r="AW49" s="114"/>
      <c r="AX49" s="114"/>
      <c r="AY49" s="114"/>
      <c r="AZ49" s="114"/>
      <c r="BA49" s="114"/>
      <c r="BB49" s="114"/>
      <c r="BC49" s="33"/>
      <c r="BD49" s="33"/>
      <c r="BE49" s="34" t="s">
        <v>127</v>
      </c>
      <c r="BF49" s="60"/>
      <c r="BG49" s="34"/>
      <c r="BH49" s="34"/>
      <c r="BI49" s="50"/>
      <c r="BJ49" s="50"/>
      <c r="CB49" s="63"/>
      <c r="CC49" s="63"/>
      <c r="CD49" s="63">
        <f>SUM(CD18:CD48)</f>
        <v>1817</v>
      </c>
      <c r="CE49" s="63"/>
      <c r="CF49" s="63"/>
      <c r="CG49" s="63"/>
      <c r="CH49" s="63"/>
      <c r="CI49" s="63"/>
      <c r="CK49" s="62">
        <f>SUM(CK18:CK48)</f>
        <v>2221675.8759177774</v>
      </c>
      <c r="CL49" s="44"/>
      <c r="CM49" s="44"/>
      <c r="CN49" s="44"/>
      <c r="CO49" s="44"/>
      <c r="CP49" s="44"/>
      <c r="CQ49" s="44"/>
      <c r="CR49" s="44"/>
      <c r="CS49" s="44"/>
      <c r="CT49" s="44"/>
      <c r="CU49" s="44"/>
      <c r="CV49" s="68"/>
      <c r="CW49" s="68"/>
      <c r="CX49" s="68"/>
      <c r="CZ49" s="77">
        <f>SUM(CZ18:CZ48)</f>
        <v>336234.45138252038</v>
      </c>
    </row>
    <row r="50" spans="1:104" ht="12" customHeight="1">
      <c r="A50" s="31"/>
      <c r="B50" s="31"/>
      <c r="C50" s="31"/>
      <c r="D50" s="31"/>
      <c r="E50" s="31"/>
      <c r="F50" s="31"/>
      <c r="G50" s="31"/>
      <c r="H50" s="132" t="str">
        <f>$H$8</f>
        <v>Capacity [W]</v>
      </c>
      <c r="I50" s="132"/>
      <c r="J50" s="132"/>
      <c r="K50" s="132"/>
      <c r="L50" s="132" t="str">
        <f>$L$8</f>
        <v>Power [W]</v>
      </c>
      <c r="M50" s="132"/>
      <c r="N50" s="132"/>
      <c r="O50" s="132"/>
      <c r="P50" s="103" t="str">
        <f>$P$8</f>
        <v>EER</v>
      </c>
      <c r="Q50" s="104"/>
      <c r="R50" s="31"/>
      <c r="S50" s="31"/>
      <c r="T50" s="31"/>
      <c r="U50" s="31"/>
      <c r="V50" s="31"/>
      <c r="W50" s="31"/>
      <c r="X50" s="31"/>
      <c r="Y50" s="31"/>
      <c r="Z50" s="31"/>
      <c r="AA50" s="31"/>
      <c r="AB50" s="31"/>
      <c r="AC50" s="31"/>
      <c r="AD50" s="31"/>
      <c r="AE50" s="31"/>
      <c r="AF50" s="31"/>
      <c r="AG50" s="31"/>
      <c r="AH50" s="31"/>
      <c r="AI50" s="31"/>
      <c r="AJ50" s="31"/>
      <c r="AK50" s="108" t="str">
        <f>$D$21</f>
        <v>Half Dry Coil</v>
      </c>
      <c r="AL50" s="108"/>
      <c r="AM50" s="108"/>
      <c r="AN50" s="108"/>
      <c r="AO50" s="108"/>
      <c r="AP50" s="108"/>
      <c r="AQ50" s="122" t="s">
        <v>104</v>
      </c>
      <c r="AR50" s="122"/>
      <c r="AS50" s="122"/>
      <c r="AT50" s="122"/>
      <c r="AU50" s="122"/>
      <c r="AV50" s="122"/>
      <c r="AW50" s="122"/>
      <c r="AX50" s="122"/>
      <c r="AY50" s="122"/>
      <c r="AZ50" s="122"/>
      <c r="BA50" s="122"/>
      <c r="BB50" s="122"/>
      <c r="BC50" s="78"/>
      <c r="BD50" s="79"/>
      <c r="BE50" s="34" t="s">
        <v>127</v>
      </c>
      <c r="BF50" s="80"/>
      <c r="BI50" s="50"/>
      <c r="BJ50" s="50"/>
    </row>
    <row r="51" spans="1:104" ht="12" customHeight="1">
      <c r="A51" s="31"/>
      <c r="B51" s="31"/>
      <c r="C51" s="31"/>
      <c r="D51" s="108" t="str">
        <f>$D$21</f>
        <v>Half Dry Coil</v>
      </c>
      <c r="E51" s="108"/>
      <c r="F51" s="108"/>
      <c r="G51" s="108"/>
      <c r="H51" s="133"/>
      <c r="I51" s="133"/>
      <c r="J51" s="133"/>
      <c r="K51" s="133"/>
      <c r="L51" s="133"/>
      <c r="M51" s="133"/>
      <c r="N51" s="133"/>
      <c r="O51" s="133"/>
      <c r="P51" s="139"/>
      <c r="Q51" s="139"/>
      <c r="R51" s="31"/>
      <c r="S51" s="31"/>
      <c r="T51" s="31"/>
      <c r="U51" s="31"/>
      <c r="V51" s="31"/>
      <c r="W51" s="31"/>
      <c r="X51" s="31"/>
      <c r="Y51" s="31"/>
      <c r="Z51" s="31"/>
      <c r="AA51" s="31"/>
      <c r="AB51" s="31"/>
      <c r="AC51" s="31"/>
      <c r="AD51" s="31"/>
      <c r="AE51" s="31"/>
      <c r="AF51" s="31"/>
      <c r="AG51" s="31"/>
      <c r="AH51" s="31"/>
      <c r="AI51" s="31"/>
      <c r="AJ51" s="31"/>
      <c r="AK51" s="108" t="str">
        <f>$D$22</f>
        <v>Half Cyclic</v>
      </c>
      <c r="AL51" s="108"/>
      <c r="AM51" s="108"/>
      <c r="AN51" s="108"/>
      <c r="AO51" s="108"/>
      <c r="AP51" s="108"/>
      <c r="AQ51" s="122"/>
      <c r="AR51" s="122"/>
      <c r="AS51" s="122"/>
      <c r="AT51" s="122"/>
      <c r="AU51" s="122"/>
      <c r="AV51" s="122"/>
      <c r="AW51" s="122"/>
      <c r="AX51" s="122"/>
      <c r="AY51" s="122"/>
      <c r="AZ51" s="122"/>
      <c r="BA51" s="122"/>
      <c r="BB51" s="122"/>
      <c r="BC51" s="78"/>
      <c r="BD51" s="79"/>
      <c r="BE51" s="34" t="s">
        <v>127</v>
      </c>
      <c r="BF51" s="80"/>
      <c r="BI51" s="50"/>
      <c r="BJ51" s="50"/>
    </row>
    <row r="52" spans="1:104" ht="12" customHeight="1">
      <c r="A52" s="31"/>
      <c r="B52" s="31"/>
      <c r="C52" s="31"/>
      <c r="D52" s="108" t="str">
        <f>$D$22</f>
        <v>Half Cyclic</v>
      </c>
      <c r="E52" s="108"/>
      <c r="F52" s="108"/>
      <c r="G52" s="108"/>
      <c r="H52" s="133"/>
      <c r="I52" s="133"/>
      <c r="J52" s="133"/>
      <c r="K52" s="133"/>
      <c r="L52" s="133"/>
      <c r="M52" s="133"/>
      <c r="N52" s="133"/>
      <c r="O52" s="133"/>
      <c r="P52" s="139"/>
      <c r="Q52" s="139"/>
      <c r="R52" s="31"/>
      <c r="S52" s="31"/>
      <c r="T52" s="31"/>
      <c r="U52" s="31"/>
      <c r="V52" s="31"/>
      <c r="W52" s="31"/>
      <c r="X52" s="31"/>
      <c r="Y52" s="31"/>
      <c r="Z52" s="31"/>
      <c r="AA52" s="31"/>
      <c r="AB52" s="31"/>
      <c r="AC52" s="31"/>
      <c r="AD52" s="31"/>
      <c r="AE52" s="31"/>
      <c r="AF52" s="31"/>
      <c r="AG52" s="31"/>
      <c r="AH52" s="31"/>
      <c r="AI52" s="31"/>
      <c r="AJ52" s="31"/>
      <c r="AK52" s="108" t="str">
        <f>$D$23</f>
        <v>Min Dry Coil</v>
      </c>
      <c r="AL52" s="108"/>
      <c r="AM52" s="108"/>
      <c r="AN52" s="108"/>
      <c r="AO52" s="108"/>
      <c r="AP52" s="108"/>
      <c r="AQ52" s="122" t="s">
        <v>104</v>
      </c>
      <c r="AR52" s="122"/>
      <c r="AS52" s="122"/>
      <c r="AT52" s="122"/>
      <c r="AU52" s="122"/>
      <c r="AV52" s="122"/>
      <c r="AW52" s="122"/>
      <c r="AX52" s="122"/>
      <c r="AY52" s="122"/>
      <c r="AZ52" s="122"/>
      <c r="BA52" s="122"/>
      <c r="BB52" s="122"/>
      <c r="BC52" s="78"/>
      <c r="BD52" s="79"/>
      <c r="BE52" s="34" t="s">
        <v>127</v>
      </c>
      <c r="BF52" s="80"/>
      <c r="BI52" s="50"/>
      <c r="BJ52" s="50"/>
    </row>
    <row r="53" spans="1:104" ht="12" customHeight="1">
      <c r="A53" s="31"/>
      <c r="B53" s="31"/>
      <c r="C53" s="31"/>
      <c r="D53" s="108" t="str">
        <f>$D$23</f>
        <v>Min Dry Coil</v>
      </c>
      <c r="E53" s="108"/>
      <c r="F53" s="108"/>
      <c r="G53" s="108"/>
      <c r="H53" s="133"/>
      <c r="I53" s="133"/>
      <c r="J53" s="133"/>
      <c r="K53" s="133"/>
      <c r="L53" s="133"/>
      <c r="M53" s="133"/>
      <c r="N53" s="133"/>
      <c r="O53" s="133"/>
      <c r="P53" s="139"/>
      <c r="Q53" s="139"/>
      <c r="R53" s="31"/>
      <c r="S53" s="31"/>
      <c r="T53" s="31"/>
      <c r="U53" s="31"/>
      <c r="V53" s="31"/>
      <c r="W53" s="31"/>
      <c r="X53" s="31"/>
      <c r="Y53" s="31"/>
      <c r="Z53" s="31"/>
      <c r="AA53" s="31"/>
      <c r="AB53" s="31"/>
      <c r="AC53" s="31"/>
      <c r="AD53" s="31"/>
      <c r="AE53" s="31"/>
      <c r="AF53" s="31"/>
      <c r="AG53" s="31"/>
      <c r="AH53" s="31"/>
      <c r="AI53" s="31"/>
      <c r="AJ53" s="31"/>
      <c r="AK53" s="108" t="str">
        <f>$D$24</f>
        <v>Min Cyclic</v>
      </c>
      <c r="AL53" s="108"/>
      <c r="AM53" s="108"/>
      <c r="AN53" s="108"/>
      <c r="AO53" s="108"/>
      <c r="AP53" s="108"/>
      <c r="AQ53" s="122"/>
      <c r="AR53" s="122"/>
      <c r="AS53" s="122"/>
      <c r="AT53" s="122"/>
      <c r="AU53" s="122"/>
      <c r="AV53" s="122"/>
      <c r="AW53" s="122"/>
      <c r="AX53" s="122"/>
      <c r="AY53" s="122"/>
      <c r="AZ53" s="122"/>
      <c r="BA53" s="122"/>
      <c r="BB53" s="122"/>
      <c r="BC53" s="78"/>
      <c r="BD53" s="78"/>
      <c r="BE53" s="34" t="s">
        <v>127</v>
      </c>
      <c r="BF53" s="80"/>
    </row>
    <row r="54" spans="1:104" ht="12" customHeight="1">
      <c r="A54" s="31"/>
      <c r="B54" s="31"/>
      <c r="C54" s="31"/>
      <c r="D54" s="108" t="str">
        <f>$D$24</f>
        <v>Min Cyclic</v>
      </c>
      <c r="E54" s="108"/>
      <c r="F54" s="108"/>
      <c r="G54" s="108"/>
      <c r="H54" s="133"/>
      <c r="I54" s="133"/>
      <c r="J54" s="133"/>
      <c r="K54" s="133"/>
      <c r="L54" s="133"/>
      <c r="M54" s="133"/>
      <c r="N54" s="133"/>
      <c r="O54" s="133"/>
      <c r="P54" s="139"/>
      <c r="Q54" s="139"/>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76"/>
      <c r="BB54" s="76"/>
      <c r="BC54" s="78"/>
      <c r="BD54" s="78"/>
      <c r="BE54" s="34" t="s">
        <v>127</v>
      </c>
    </row>
    <row r="55" spans="1:104" ht="12" customHeight="1">
      <c r="A55" s="31"/>
      <c r="B55" s="31"/>
      <c r="C55" s="31"/>
      <c r="D55" s="31"/>
      <c r="E55" s="31"/>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76"/>
      <c r="BB55" s="76"/>
      <c r="BC55" s="76"/>
      <c r="BD55" s="76"/>
      <c r="BE55" s="34" t="s">
        <v>127</v>
      </c>
    </row>
    <row r="56" spans="1:104" ht="12" customHeight="1">
      <c r="A56" s="31"/>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76"/>
      <c r="BB56" s="76"/>
      <c r="BC56" s="76"/>
      <c r="BD56" s="76"/>
      <c r="BE56" s="34" t="s">
        <v>127</v>
      </c>
    </row>
    <row r="58" spans="1:10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row>
    <row r="59" spans="1:104">
      <c r="Y59" s="34"/>
      <c r="Z59" s="34"/>
      <c r="AA59" s="34"/>
      <c r="AB59" s="34"/>
      <c r="AC59" s="34" t="s">
        <v>47</v>
      </c>
      <c r="AD59" s="34"/>
      <c r="AE59" s="34"/>
      <c r="AF59" s="34"/>
      <c r="AG59" s="34"/>
      <c r="AH59" s="34"/>
      <c r="AI59" s="34"/>
      <c r="AJ59" s="34"/>
      <c r="AK59" s="34"/>
      <c r="AL59" s="34"/>
      <c r="AM59" s="34"/>
      <c r="AN59" s="34"/>
      <c r="AO59" s="34"/>
      <c r="AP59" s="34"/>
      <c r="AQ59" s="34"/>
      <c r="AR59" s="34"/>
      <c r="AS59" s="34"/>
      <c r="AT59" s="34"/>
      <c r="AU59" s="34"/>
      <c r="AV59" s="34"/>
      <c r="AW59" s="34"/>
    </row>
    <row r="60" spans="1:104">
      <c r="Y60" s="34"/>
      <c r="Z60" s="34"/>
      <c r="AA60" s="34"/>
      <c r="AB60" s="34"/>
      <c r="AC60" s="34" t="s">
        <v>49</v>
      </c>
      <c r="AJ60" s="34"/>
      <c r="AK60" s="34"/>
      <c r="AM60" s="34"/>
      <c r="AO60" s="34"/>
      <c r="AP60" s="34"/>
      <c r="AQ60" s="34"/>
      <c r="AR60" s="34"/>
      <c r="AS60" s="34"/>
      <c r="AT60" s="34"/>
      <c r="AU60" s="34"/>
      <c r="AV60" s="34"/>
      <c r="AW60" s="34"/>
      <c r="CA60" s="28" t="s">
        <v>70</v>
      </c>
      <c r="CF60" s="29" t="str">
        <f>data!$F$7</f>
        <v>CUSTOM</v>
      </c>
      <c r="CL60" s="30"/>
    </row>
    <row r="61" spans="1:104">
      <c r="Y61" s="34"/>
      <c r="Z61" s="34"/>
      <c r="AA61" s="34"/>
      <c r="AB61" s="34"/>
      <c r="AC61" s="34" t="s">
        <v>43</v>
      </c>
      <c r="AJ61" s="34"/>
      <c r="AK61" s="34"/>
      <c r="AM61" s="34"/>
      <c r="AO61" s="34"/>
      <c r="AP61" s="34"/>
      <c r="AQ61" s="34"/>
      <c r="AR61" s="34"/>
      <c r="AS61" s="34"/>
      <c r="AT61" s="34"/>
      <c r="AU61" s="34"/>
      <c r="AV61" s="34"/>
      <c r="AW61" s="34"/>
      <c r="CA61" s="28"/>
      <c r="CL61" s="30"/>
    </row>
    <row r="62" spans="1:104">
      <c r="Y62" s="34"/>
      <c r="Z62" s="34"/>
      <c r="AA62" s="34"/>
      <c r="AB62" s="34"/>
      <c r="AC62" s="34" t="s">
        <v>95</v>
      </c>
      <c r="AE62" s="34"/>
      <c r="AF62" s="34"/>
      <c r="AG62" s="34"/>
      <c r="AH62" s="34"/>
      <c r="AI62" s="34"/>
      <c r="AJ62" s="34"/>
      <c r="AK62" s="34"/>
      <c r="AL62" s="34"/>
      <c r="AM62" s="34"/>
      <c r="AN62" s="34"/>
      <c r="AO62" s="34"/>
      <c r="AP62" s="34"/>
      <c r="AQ62" s="34"/>
      <c r="AR62" s="34"/>
      <c r="AS62" s="34"/>
      <c r="AT62" s="34"/>
      <c r="AU62" s="34"/>
      <c r="AV62" s="34"/>
      <c r="AW62" s="34"/>
      <c r="CA62" s="28"/>
      <c r="CB62" s="37" t="s">
        <v>177</v>
      </c>
      <c r="CC62" s="38">
        <f>'Variable Capacity unit'!$H$9</f>
        <v>3030.3844811099998</v>
      </c>
      <c r="CD62" s="39"/>
      <c r="CE62" s="40" t="s">
        <v>0</v>
      </c>
      <c r="CF62" s="41">
        <f>$CK$108/$CZ$108</f>
        <v>6.3341036765591943</v>
      </c>
      <c r="CJ62" s="42"/>
      <c r="CL62" s="43"/>
    </row>
    <row r="63" spans="1:104">
      <c r="Y63" s="34"/>
      <c r="Z63" s="34"/>
      <c r="AA63" s="34"/>
      <c r="AB63" s="34"/>
      <c r="AC63" s="34" t="s">
        <v>44</v>
      </c>
      <c r="AE63" s="34"/>
      <c r="AF63" s="34"/>
      <c r="AG63" s="34"/>
      <c r="AH63" s="34"/>
      <c r="AI63" s="34"/>
      <c r="AJ63" s="34"/>
      <c r="AK63" s="34"/>
      <c r="AL63" s="34"/>
      <c r="AM63" s="34"/>
      <c r="AN63" s="34"/>
      <c r="AO63" s="34"/>
      <c r="AP63" s="34"/>
      <c r="AQ63" s="34"/>
      <c r="AR63" s="34"/>
      <c r="AS63" s="34"/>
      <c r="AT63" s="34"/>
      <c r="AU63" s="34"/>
      <c r="AV63" s="34"/>
      <c r="AW63" s="34"/>
      <c r="CA63" s="28"/>
      <c r="CL63" s="43"/>
    </row>
    <row r="64" spans="1:104" ht="15">
      <c r="Y64" s="34"/>
      <c r="Z64" s="34"/>
      <c r="AA64" s="34"/>
      <c r="AB64" s="34"/>
      <c r="AC64" s="34" t="s">
        <v>45</v>
      </c>
      <c r="AE64" s="34"/>
      <c r="AF64" s="34"/>
      <c r="AG64" s="34"/>
      <c r="AH64" s="34"/>
      <c r="AI64" s="34"/>
      <c r="AJ64" s="34"/>
      <c r="AK64" s="34"/>
      <c r="AL64" s="34"/>
      <c r="AM64" s="34"/>
      <c r="AN64" s="34"/>
      <c r="AO64" s="34"/>
      <c r="AP64" s="34"/>
      <c r="AQ64" s="34"/>
      <c r="AR64" s="34"/>
      <c r="AS64" s="34"/>
      <c r="AT64" s="34"/>
      <c r="AU64" s="34"/>
      <c r="AV64" s="34"/>
      <c r="AW64" s="34"/>
      <c r="CA64" s="28"/>
      <c r="CC64" s="44" t="s">
        <v>134</v>
      </c>
      <c r="CD64" s="44" t="s">
        <v>135</v>
      </c>
      <c r="CE64" s="44" t="s">
        <v>136</v>
      </c>
      <c r="CG64" s="44" t="s">
        <v>19</v>
      </c>
      <c r="CH64" s="44">
        <f>data!$F$14</f>
        <v>0.25</v>
      </c>
      <c r="CJ64" s="44" t="s">
        <v>137</v>
      </c>
      <c r="CK64" s="45">
        <f>(6*$CC$62*$CH$67+6*$CC$65*($CH$68-$CH$67)+35*($CC$70-$CC$65)*($CH$68-$CH$67))/(6*$CC$62+($CC$70-$CC$65)*($CH$68-$CH$67))</f>
        <v>35</v>
      </c>
      <c r="CL64" s="46"/>
      <c r="CM64" s="44" t="s">
        <v>138</v>
      </c>
      <c r="CN64" s="45">
        <f>($CE$65+($CE$70-$CE$65)/(35-29)*(35-$CH$67))/($CE$66+($CE$71-$CE$66)/(35-29)*(35-$CH$67))</f>
        <v>51.058741021447005</v>
      </c>
    </row>
    <row r="65" spans="25:104" ht="15">
      <c r="Y65" s="34"/>
      <c r="Z65" s="34"/>
      <c r="AA65" s="34"/>
      <c r="AB65" s="34"/>
      <c r="AE65" s="34"/>
      <c r="AF65" s="34"/>
      <c r="AG65" s="34"/>
      <c r="AH65" s="34"/>
      <c r="AI65" s="34"/>
      <c r="AJ65" s="34"/>
      <c r="AK65" s="34"/>
      <c r="AL65" s="34"/>
      <c r="AM65" s="34"/>
      <c r="AN65" s="34"/>
      <c r="AO65" s="34"/>
      <c r="AP65" s="34"/>
      <c r="AQ65" s="34"/>
      <c r="AR65" s="34"/>
      <c r="AS65" s="34"/>
      <c r="AT65" s="34"/>
      <c r="AU65" s="34"/>
      <c r="AV65" s="34"/>
      <c r="AW65" s="34"/>
      <c r="CA65" s="28"/>
      <c r="CB65" s="51" t="s">
        <v>82</v>
      </c>
      <c r="CC65" s="52">
        <f>'Variable Capacity unit'!$H$9</f>
        <v>3030.3844811099998</v>
      </c>
      <c r="CD65" s="52">
        <f>'Variable Capacity unit'!$H$10</f>
        <v>1602.1903965899996</v>
      </c>
      <c r="CE65" s="52">
        <f>IF('Variable Capacity unit'!$BD$7="Required test",$CD$65,IF('Variable Capacity unit'!$BD$11="Not Measure",$CD$65,IF('Variable Capacity unit'!$BD$15="Default",$CE$70/$CH$65,'Variable Capacity unit'!$H$11)))</f>
        <v>1602.1903965899996</v>
      </c>
      <c r="CG65" s="53" t="s">
        <v>178</v>
      </c>
      <c r="CH65" s="40">
        <f>data!$F$15</f>
        <v>1.077</v>
      </c>
      <c r="CJ65" s="44" t="s">
        <v>140</v>
      </c>
      <c r="CK65" s="45">
        <f>(6*$CC$62*$CH$67+6*$CD$65*($CH$68-$CH$67)+35*($CD$70-$CD$65)*($CH$68-$CH$67))/(6*$CC$62+($CD$70-$CD$65)*($CH$68-$CH$67))</f>
        <v>26.133564198511706</v>
      </c>
      <c r="CL65" s="43"/>
      <c r="CM65" s="44" t="s">
        <v>141</v>
      </c>
      <c r="CN65" s="45">
        <f>($CC$65+($CC$70-$CC$65)/(35-29)*(35-$CK$64))/($CC$66+($CC$71-$CC$66)/(35-29)*(35-$CK$64))</f>
        <v>3.2128758281488548</v>
      </c>
    </row>
    <row r="66" spans="25:104" ht="15">
      <c r="Y66" s="34"/>
      <c r="Z66" s="34"/>
      <c r="AA66" s="34"/>
      <c r="AB66" s="34"/>
      <c r="AE66" s="34"/>
      <c r="AF66" s="34"/>
      <c r="AG66" s="34"/>
      <c r="AH66" s="34"/>
      <c r="AI66" s="34"/>
      <c r="AJ66" s="34"/>
      <c r="AK66" s="34"/>
      <c r="AL66" s="34"/>
      <c r="AM66" s="34"/>
      <c r="AN66" s="34"/>
      <c r="AO66" s="34"/>
      <c r="AP66" s="34"/>
      <c r="AQ66" s="34"/>
      <c r="AR66" s="34"/>
      <c r="AS66" s="34"/>
      <c r="AT66" s="34"/>
      <c r="AU66" s="34"/>
      <c r="AV66" s="34"/>
      <c r="AW66" s="34"/>
      <c r="CA66" s="28"/>
      <c r="CB66" s="51" t="s">
        <v>83</v>
      </c>
      <c r="CC66" s="52">
        <f>'Variable Capacity unit'!$L$9</f>
        <v>943.2</v>
      </c>
      <c r="CD66" s="52">
        <f>'Variable Capacity unit'!$L$10</f>
        <v>383.6</v>
      </c>
      <c r="CE66" s="52">
        <f>IF('Variable Capacity unit'!$BD$7="Required test",$CD$66,IF('Variable Capacity unit'!$BD$11="Not Measure",$CD$66,IF('Variable Capacity unit'!$BD$15="Default",$CE$71/$CH$66,'Variable Capacity unit'!$L$11)))</f>
        <v>383.6</v>
      </c>
      <c r="CG66" s="53" t="s">
        <v>179</v>
      </c>
      <c r="CH66" s="40">
        <f>data!$F$16</f>
        <v>0.91400000000000003</v>
      </c>
      <c r="CJ66" s="44" t="s">
        <v>143</v>
      </c>
      <c r="CK66" s="45">
        <f>(6*$CC$62*$CH$67+6*$CE$65*($CH$68-$CH$67)+35*($CE$70-$CE$65)*($CH$68-$CH$67))/(6*$CC$62+($CE$70-$CE$65)*($CH$68-$CH$67))</f>
        <v>26.133564198511706</v>
      </c>
      <c r="CL66" s="43"/>
      <c r="CM66" s="44" t="s">
        <v>144</v>
      </c>
      <c r="CN66" s="45">
        <f>($CD$65+($CD$70-$CD$65)/(35-29)*(35-$CK$65))/($CD$66+($CD$71-$CD$66)/(35-29)*(35-$CK$65))</f>
        <v>7.3629583941963954</v>
      </c>
    </row>
    <row r="67" spans="25:104" ht="15">
      <c r="Y67" s="34"/>
      <c r="Z67" s="34"/>
      <c r="AA67" s="34"/>
      <c r="AB67" s="34"/>
      <c r="AE67" s="34"/>
      <c r="AF67" s="34"/>
      <c r="AG67" s="34"/>
      <c r="AH67" s="34"/>
      <c r="AI67" s="34"/>
      <c r="AJ67" s="34"/>
      <c r="AK67" s="34"/>
      <c r="AL67" s="34"/>
      <c r="AM67" s="34"/>
      <c r="AN67" s="34"/>
      <c r="AO67" s="34"/>
      <c r="AP67" s="34"/>
      <c r="AQ67" s="34"/>
      <c r="AR67" s="34"/>
      <c r="AS67" s="34"/>
      <c r="AT67" s="34"/>
      <c r="AU67" s="34"/>
      <c r="AV67" s="34"/>
      <c r="AW67" s="34"/>
      <c r="CA67" s="28"/>
      <c r="CB67" s="44" t="s">
        <v>152</v>
      </c>
      <c r="CC67" s="61">
        <f>$CC$65/$CC$66</f>
        <v>3.2128758281488548</v>
      </c>
      <c r="CD67" s="61">
        <f>$CD$65/$CD$66</f>
        <v>4.1767215760948897</v>
      </c>
      <c r="CE67" s="61">
        <f>$CE$65/$CE$66</f>
        <v>4.1767215760948897</v>
      </c>
      <c r="CG67" s="44" t="s">
        <v>146</v>
      </c>
      <c r="CH67" s="44">
        <f>data!$F$11</f>
        <v>20</v>
      </c>
      <c r="CL67" s="43"/>
      <c r="CM67" s="44" t="s">
        <v>147</v>
      </c>
      <c r="CN67" s="45">
        <f>($CE$65+($CE$70-$CE$65)/(35-29)*(35-$CK$66))/($CE$66+($CE$71-$CE$66)/(35-29)*(35-$CK$66))</f>
        <v>7.3629583941963954</v>
      </c>
      <c r="CO67" s="62"/>
    </row>
    <row r="68" spans="25:104" ht="15">
      <c r="AE68" s="34"/>
      <c r="AF68" s="34"/>
      <c r="AG68" s="34"/>
      <c r="AH68" s="34"/>
      <c r="CA68" s="28"/>
      <c r="CB68" s="44"/>
      <c r="CC68" s="44"/>
      <c r="CD68" s="44"/>
      <c r="CE68" s="63"/>
      <c r="CG68" s="44" t="s">
        <v>148</v>
      </c>
      <c r="CH68" s="44">
        <f>data!$F$12</f>
        <v>35</v>
      </c>
    </row>
    <row r="69" spans="25:104" ht="15">
      <c r="AE69" s="34"/>
      <c r="AF69" s="34"/>
      <c r="AG69" s="34"/>
      <c r="AH69" s="34"/>
      <c r="CA69" s="28"/>
      <c r="CB69" s="44"/>
      <c r="CC69" s="44" t="s">
        <v>149</v>
      </c>
      <c r="CD69" s="44" t="s">
        <v>180</v>
      </c>
      <c r="CE69" s="44" t="s">
        <v>151</v>
      </c>
      <c r="CM69" s="44"/>
      <c r="CN69" s="62"/>
      <c r="CO69" s="62"/>
    </row>
    <row r="70" spans="25:104">
      <c r="AE70" s="34"/>
      <c r="AF70" s="34"/>
      <c r="AG70" s="34"/>
      <c r="AH70" s="34"/>
      <c r="CA70" s="28"/>
      <c r="CB70" s="51" t="s">
        <v>82</v>
      </c>
      <c r="CC70" s="52">
        <f>$CC$65*$CH$65</f>
        <v>3263.7240861554696</v>
      </c>
      <c r="CD70" s="52">
        <f>IF('Variable Capacity unit'!$BD$7="Required test",$CD$65*$CH$65,IF('Variable Capacity unit'!$BD$17="Default",$CD$65*$CH$65,'Variable Capacity unit'!$H$16))</f>
        <v>1356.5088934600001</v>
      </c>
      <c r="CE70" s="52">
        <f>IF('Variable Capacity unit'!$BD$7="Required test",$CD$70,IF('Variable Capacity unit'!$BD$11="Not Measure",$CD$70,IF('Variable Capacity unit'!$BD$18="Default",$CD$70,'Variable Capacity unit'!$H$17)))</f>
        <v>1356.5088934600001</v>
      </c>
    </row>
    <row r="71" spans="25:104">
      <c r="AE71" s="34"/>
      <c r="AF71" s="34"/>
      <c r="AG71" s="34"/>
      <c r="AH71" s="34"/>
      <c r="CA71" s="28"/>
      <c r="CB71" s="51" t="s">
        <v>83</v>
      </c>
      <c r="CC71" s="52">
        <f>$CC$66*$CH$66</f>
        <v>862.08480000000009</v>
      </c>
      <c r="CD71" s="52">
        <f>IF('Variable Capacity unit'!$BD$7="Required test",$CD$66*$CH$66,IF('Variable Capacity unit'!$BD$17="Default",$CD$66*$CH$66,'Variable Capacity unit'!$L$16))</f>
        <v>237.9</v>
      </c>
      <c r="CE71" s="52">
        <f>IF('Variable Capacity unit'!$BD$7="Required test",$CD$71,IF('Variable Capacity unit'!$BD$11="Not Measure",$CD$71,IF('Variable Capacity unit'!$BD$18="Default",$CD$71,'Variable Capacity unit'!$L$17)))</f>
        <v>237.9</v>
      </c>
    </row>
    <row r="72" spans="25:104">
      <c r="AE72" s="34"/>
      <c r="AF72" s="34"/>
      <c r="AG72" s="34"/>
      <c r="AH72" s="34"/>
      <c r="CA72" s="28"/>
      <c r="CB72" s="44" t="s">
        <v>152</v>
      </c>
      <c r="CC72" s="61">
        <f>$CC$70/$CC$71</f>
        <v>3.7858504014401708</v>
      </c>
      <c r="CD72" s="61">
        <f>$CD$70/$CD$71</f>
        <v>5.7020130031946197</v>
      </c>
      <c r="CE72" s="61">
        <f>$CE$70/$CE$71</f>
        <v>5.7020130031946197</v>
      </c>
    </row>
    <row r="73" spans="25:104">
      <c r="AE73" s="34"/>
      <c r="AF73" s="34"/>
      <c r="AG73" s="34"/>
      <c r="AH73" s="34"/>
      <c r="CA73" s="28"/>
      <c r="CB73" s="44"/>
      <c r="CC73" s="44"/>
      <c r="CD73" s="44"/>
      <c r="CE73" s="44"/>
    </row>
    <row r="74" spans="25:104">
      <c r="AE74" s="34"/>
      <c r="AF74" s="34"/>
      <c r="AG74" s="34"/>
      <c r="AH74" s="34"/>
      <c r="CA74" s="28"/>
      <c r="CB74" s="97" t="s">
        <v>5</v>
      </c>
      <c r="CC74" s="98" t="s">
        <v>7</v>
      </c>
      <c r="CD74" s="97" t="s">
        <v>8</v>
      </c>
      <c r="CE74" s="66" t="s">
        <v>9</v>
      </c>
      <c r="CF74" s="66" t="s">
        <v>10</v>
      </c>
      <c r="CG74" s="66" t="s">
        <v>20</v>
      </c>
      <c r="CH74" s="99" t="s">
        <v>11</v>
      </c>
      <c r="CI74" s="99"/>
      <c r="CJ74" s="99"/>
      <c r="CK74" s="67" t="s">
        <v>2</v>
      </c>
      <c r="CL74" s="99" t="s">
        <v>13</v>
      </c>
      <c r="CM74" s="99"/>
      <c r="CN74" s="99"/>
      <c r="CO74" s="99" t="s">
        <v>16</v>
      </c>
      <c r="CP74" s="99"/>
      <c r="CQ74" s="99"/>
      <c r="CR74" s="99" t="s">
        <v>40</v>
      </c>
      <c r="CS74" s="99"/>
      <c r="CT74" s="99"/>
      <c r="CU74" s="99"/>
      <c r="CV74" s="99" t="s">
        <v>17</v>
      </c>
      <c r="CW74" s="99"/>
      <c r="CX74" s="99"/>
      <c r="CY74" s="99"/>
      <c r="CZ74" s="67" t="s">
        <v>3</v>
      </c>
    </row>
    <row r="75" spans="25:104">
      <c r="AE75" s="34"/>
      <c r="AF75" s="34"/>
      <c r="AG75" s="34"/>
      <c r="AH75" s="34"/>
      <c r="CB75" s="97"/>
      <c r="CC75" s="98"/>
      <c r="CD75" s="97"/>
      <c r="CE75" s="67" t="s">
        <v>181</v>
      </c>
      <c r="CF75" s="96" t="s">
        <v>154</v>
      </c>
      <c r="CG75" s="96" t="s">
        <v>155</v>
      </c>
      <c r="CH75" s="68" t="s">
        <v>4</v>
      </c>
      <c r="CI75" s="68" t="s">
        <v>14</v>
      </c>
      <c r="CJ75" s="68" t="s">
        <v>12</v>
      </c>
      <c r="CK75" s="100" t="s">
        <v>131</v>
      </c>
      <c r="CL75" s="68" t="s">
        <v>4</v>
      </c>
      <c r="CM75" s="68" t="s">
        <v>14</v>
      </c>
      <c r="CN75" s="68" t="s">
        <v>12</v>
      </c>
      <c r="CO75" s="68" t="s">
        <v>4</v>
      </c>
      <c r="CP75" s="68" t="s">
        <v>14</v>
      </c>
      <c r="CQ75" s="68" t="s">
        <v>12</v>
      </c>
      <c r="CR75" s="68" t="s">
        <v>156</v>
      </c>
      <c r="CS75" s="68" t="s">
        <v>157</v>
      </c>
      <c r="CT75" s="68" t="s">
        <v>158</v>
      </c>
      <c r="CU75" s="68" t="s">
        <v>84</v>
      </c>
      <c r="CV75" s="68" t="s">
        <v>156</v>
      </c>
      <c r="CW75" s="68" t="s">
        <v>157</v>
      </c>
      <c r="CX75" s="68" t="s">
        <v>158</v>
      </c>
      <c r="CY75" s="68" t="s">
        <v>84</v>
      </c>
      <c r="CZ75" s="100" t="s">
        <v>132</v>
      </c>
    </row>
    <row r="76" spans="25:104" ht="15">
      <c r="AA76" s="34"/>
      <c r="AB76" s="34"/>
      <c r="AE76" s="34"/>
      <c r="AF76" s="34"/>
      <c r="AG76" s="34"/>
      <c r="AH76" s="34"/>
      <c r="AI76" s="34"/>
      <c r="AJ76" s="34"/>
      <c r="AK76" s="34"/>
      <c r="AL76" s="34"/>
      <c r="AM76" s="34"/>
      <c r="AN76" s="34"/>
      <c r="CB76" s="63" t="s">
        <v>6</v>
      </c>
      <c r="CC76" s="63" t="s">
        <v>159</v>
      </c>
      <c r="CD76" s="63" t="s">
        <v>182</v>
      </c>
      <c r="CE76" s="68" t="s">
        <v>15</v>
      </c>
      <c r="CF76" s="99"/>
      <c r="CG76" s="99"/>
      <c r="CH76" s="67" t="s">
        <v>183</v>
      </c>
      <c r="CI76" s="67" t="s">
        <v>162</v>
      </c>
      <c r="CJ76" s="67" t="s">
        <v>163</v>
      </c>
      <c r="CK76" s="100"/>
      <c r="CL76" s="68" t="s">
        <v>164</v>
      </c>
      <c r="CM76" s="68" t="s">
        <v>165</v>
      </c>
      <c r="CN76" s="68" t="s">
        <v>166</v>
      </c>
      <c r="CO76" s="67" t="s">
        <v>167</v>
      </c>
      <c r="CP76" s="67" t="s">
        <v>168</v>
      </c>
      <c r="CQ76" s="67" t="s">
        <v>169</v>
      </c>
      <c r="CR76" s="67" t="s">
        <v>169</v>
      </c>
      <c r="CS76" s="67" t="s">
        <v>171</v>
      </c>
      <c r="CT76" s="67" t="s">
        <v>184</v>
      </c>
      <c r="CU76" s="67" t="s">
        <v>167</v>
      </c>
      <c r="CV76" s="67" t="s">
        <v>173</v>
      </c>
      <c r="CW76" s="67" t="s">
        <v>174</v>
      </c>
      <c r="CX76" s="67" t="s">
        <v>175</v>
      </c>
      <c r="CY76" s="67" t="s">
        <v>176</v>
      </c>
      <c r="CZ76" s="100"/>
    </row>
    <row r="77" spans="25:104">
      <c r="AA77" s="34"/>
      <c r="AB77" s="34"/>
      <c r="AE77" s="34"/>
      <c r="AF77" s="34"/>
      <c r="AG77" s="34"/>
      <c r="AH77" s="34"/>
      <c r="AI77" s="34"/>
      <c r="AJ77" s="34"/>
      <c r="AK77" s="34"/>
      <c r="AL77" s="34"/>
      <c r="AM77" s="34"/>
      <c r="AN77" s="34"/>
      <c r="CB77" s="63">
        <v>1</v>
      </c>
      <c r="CC77" s="63">
        <f>data!$F22</f>
        <v>15</v>
      </c>
      <c r="CD77" s="63">
        <f>data!$G22</f>
        <v>0</v>
      </c>
      <c r="CE77" s="70">
        <f t="shared" ref="CE77:CE107" si="22">IF($CC$62*($CC77-$CH$67)/($CH$68-$CH$67)&lt;0,0,$CC$62*($CC77-$CH$67)/($CH$68-$CH$67))</f>
        <v>0</v>
      </c>
      <c r="CF77" s="71">
        <f t="shared" ref="CF77:CF107" si="23">1-$CH$64*(1-$CG77)</f>
        <v>0.75</v>
      </c>
      <c r="CG77" s="71">
        <f t="shared" ref="CG77:CG107" si="24">IF($CE77&lt;$CJ77,$CE77/$CJ77,1)</f>
        <v>0</v>
      </c>
      <c r="CH77" s="72">
        <f t="shared" ref="CH77:CH107" si="25">$CC$65+($CC$70-$CC$65)/(35-29)*(35-$CC77)</f>
        <v>3808.1831645948996</v>
      </c>
      <c r="CI77" s="72">
        <f t="shared" ref="CI77:CI107" si="26">$CD$65+($CD$70-$CD$65)/(35-29)*(35-$CC77)</f>
        <v>783.25205282333445</v>
      </c>
      <c r="CJ77" s="72">
        <f t="shared" ref="CJ77:CJ107" si="27">$CE$65+($CE$70-$CE$65)/(35-29)*(35-$CC77)</f>
        <v>783.25205282333445</v>
      </c>
      <c r="CK77" s="70">
        <f t="shared" ref="CK77:CK107" si="28">IF($CE77&lt;$CH77,$CE77*$CD77,$CH77*$CD77)</f>
        <v>0</v>
      </c>
      <c r="CL77" s="72">
        <f t="shared" ref="CL77:CL107" si="29">$CC$66+($CC$71-$CC$66)/(35-29)*(35-$CC77)</f>
        <v>672.81600000000026</v>
      </c>
      <c r="CM77" s="72">
        <f t="shared" ref="CM77:CM107" si="30">$CD$66+($CD$71-$CD$66)/(35-29)*(35-$CC77)</f>
        <v>-102.06666666666666</v>
      </c>
      <c r="CN77" s="72">
        <f t="shared" ref="CN77:CN107" si="31">$CE$66+($CE$71-$CE$66)/(35-29)*(35-$CC77)</f>
        <v>-102.06666666666666</v>
      </c>
      <c r="CO77" s="45">
        <f t="shared" ref="CO77:CO107" si="32">$CH77/$CL77</f>
        <v>5.6600662953837277</v>
      </c>
      <c r="CP77" s="45">
        <f t="shared" ref="CP77:CP107" si="33">$CI77/$CM77</f>
        <v>-7.6739260564010561</v>
      </c>
      <c r="CQ77" s="45">
        <f t="shared" ref="CQ77:CQ107" si="34">$CJ77/$CN77</f>
        <v>-7.6739260564010561</v>
      </c>
      <c r="CR77" s="45">
        <f t="shared" ref="CR77:CR107" si="35">IF($CJ77&gt;$CE77,$CJ77/$CN77,0)</f>
        <v>-7.6739260564010561</v>
      </c>
      <c r="CS77" s="45">
        <f t="shared" ref="CS77:CS107" si="36">IF(AND($CJ77&lt;$CE77,$CE77&lt;=$CI77),$CN$67+($CN$66-$CN$67)/($CK$65-$CK$66)*($CC77-$CK$66),0)</f>
        <v>0</v>
      </c>
      <c r="CT77" s="45">
        <f t="shared" ref="CT77:CT107" si="37">IF(AND($CI77&lt;$CE77,$CE77&lt;=$CH77),$CN$66+($CN$65-$CN$66)/($CK$64-$CK$65)*($CC77-$CK$65),0)</f>
        <v>0</v>
      </c>
      <c r="CU77" s="45">
        <f t="shared" ref="CU77:CU107" si="38">IF($CE77&gt;$CH77,$CH77/$CL77,0)</f>
        <v>0</v>
      </c>
      <c r="CV77" s="72">
        <f t="shared" ref="CV77:CV107" si="39">IF($CJ77&gt;=$CE77,$CN77,0)</f>
        <v>-102.06666666666666</v>
      </c>
      <c r="CW77" s="72">
        <f t="shared" ref="CW77:CW107" si="40">IF($CS77&gt;0,$CE77/$CS77,0)</f>
        <v>0</v>
      </c>
      <c r="CX77" s="72">
        <f t="shared" ref="CX77:CX107" si="41">IF($CT77&gt;0,$CE77/$CT77,0)</f>
        <v>0</v>
      </c>
      <c r="CY77" s="72">
        <f t="shared" ref="CY77:CY107" si="42">IF($CU77&gt;0,$CH77/$CU77,0)</f>
        <v>0</v>
      </c>
      <c r="CZ77" s="70">
        <f t="shared" ref="CZ77:CZ107" si="43">IF($CF77=0,0,$CG77*$CV77*$CD77/$CF77+$CW77*$CD77+$CX77*$CD77+$CY77*$CD77)</f>
        <v>0</v>
      </c>
    </row>
    <row r="78" spans="25:104">
      <c r="AA78" s="34"/>
      <c r="AB78" s="34"/>
      <c r="AE78" s="34"/>
      <c r="AF78" s="34"/>
      <c r="AG78" s="34"/>
      <c r="AH78" s="34"/>
      <c r="AI78" s="34"/>
      <c r="AJ78" s="34"/>
      <c r="AK78" s="34"/>
      <c r="AL78" s="34"/>
      <c r="AM78" s="34"/>
      <c r="AN78" s="34"/>
      <c r="CB78" s="63">
        <v>2</v>
      </c>
      <c r="CC78" s="63">
        <f>data!$F23</f>
        <v>16</v>
      </c>
      <c r="CD78" s="63">
        <f>data!$G23</f>
        <v>0</v>
      </c>
      <c r="CE78" s="70">
        <f t="shared" si="22"/>
        <v>0</v>
      </c>
      <c r="CF78" s="71">
        <f t="shared" si="23"/>
        <v>0.75</v>
      </c>
      <c r="CG78" s="71">
        <f t="shared" si="24"/>
        <v>0</v>
      </c>
      <c r="CH78" s="72">
        <f t="shared" si="25"/>
        <v>3769.2932304206543</v>
      </c>
      <c r="CI78" s="72">
        <f t="shared" si="26"/>
        <v>824.19897001166771</v>
      </c>
      <c r="CJ78" s="72">
        <f t="shared" si="27"/>
        <v>824.19897001166771</v>
      </c>
      <c r="CK78" s="70">
        <f t="shared" si="28"/>
        <v>0</v>
      </c>
      <c r="CL78" s="72">
        <f t="shared" si="29"/>
        <v>686.33520000000021</v>
      </c>
      <c r="CM78" s="72">
        <f t="shared" si="30"/>
        <v>-77.78333333333336</v>
      </c>
      <c r="CN78" s="72">
        <f t="shared" si="31"/>
        <v>-77.78333333333336</v>
      </c>
      <c r="CO78" s="45">
        <f t="shared" si="32"/>
        <v>5.4919130337780331</v>
      </c>
      <c r="CP78" s="45">
        <f t="shared" si="33"/>
        <v>-10.596087036790239</v>
      </c>
      <c r="CQ78" s="45">
        <f t="shared" si="34"/>
        <v>-10.596087036790239</v>
      </c>
      <c r="CR78" s="45">
        <f t="shared" si="35"/>
        <v>-10.596087036790239</v>
      </c>
      <c r="CS78" s="45">
        <f t="shared" si="36"/>
        <v>0</v>
      </c>
      <c r="CT78" s="45">
        <f t="shared" si="37"/>
        <v>0</v>
      </c>
      <c r="CU78" s="45">
        <f t="shared" si="38"/>
        <v>0</v>
      </c>
      <c r="CV78" s="72">
        <f t="shared" si="39"/>
        <v>-77.78333333333336</v>
      </c>
      <c r="CW78" s="72">
        <f t="shared" si="40"/>
        <v>0</v>
      </c>
      <c r="CX78" s="72">
        <f t="shared" si="41"/>
        <v>0</v>
      </c>
      <c r="CY78" s="72">
        <f t="shared" si="42"/>
        <v>0</v>
      </c>
      <c r="CZ78" s="70">
        <f t="shared" si="43"/>
        <v>0</v>
      </c>
    </row>
    <row r="79" spans="25:104">
      <c r="AA79" s="34"/>
      <c r="AB79" s="34"/>
      <c r="AE79" s="34"/>
      <c r="AF79" s="34"/>
      <c r="AG79" s="34"/>
      <c r="AH79" s="34"/>
      <c r="AI79" s="34"/>
      <c r="AJ79" s="34"/>
      <c r="AK79" s="34"/>
      <c r="AL79" s="34"/>
      <c r="AM79" s="34"/>
      <c r="AN79" s="34"/>
      <c r="CB79" s="63">
        <v>3</v>
      </c>
      <c r="CC79" s="63">
        <f>data!$F24</f>
        <v>17</v>
      </c>
      <c r="CD79" s="63">
        <f>data!$G24</f>
        <v>0</v>
      </c>
      <c r="CE79" s="70">
        <f t="shared" si="22"/>
        <v>0</v>
      </c>
      <c r="CF79" s="71">
        <f t="shared" si="23"/>
        <v>0.75</v>
      </c>
      <c r="CG79" s="71">
        <f t="shared" si="24"/>
        <v>0</v>
      </c>
      <c r="CH79" s="72">
        <f t="shared" si="25"/>
        <v>3730.4032962464094</v>
      </c>
      <c r="CI79" s="72">
        <f t="shared" si="26"/>
        <v>865.14588720000097</v>
      </c>
      <c r="CJ79" s="72">
        <f t="shared" si="27"/>
        <v>865.14588720000097</v>
      </c>
      <c r="CK79" s="70">
        <f t="shared" si="28"/>
        <v>0</v>
      </c>
      <c r="CL79" s="72">
        <f t="shared" si="29"/>
        <v>699.85440000000017</v>
      </c>
      <c r="CM79" s="72">
        <f t="shared" si="30"/>
        <v>-53.5</v>
      </c>
      <c r="CN79" s="72">
        <f t="shared" si="31"/>
        <v>-53.5</v>
      </c>
      <c r="CO79" s="45">
        <f t="shared" si="32"/>
        <v>5.3302562593682463</v>
      </c>
      <c r="CP79" s="45">
        <f t="shared" si="33"/>
        <v>-16.170951162616841</v>
      </c>
      <c r="CQ79" s="45">
        <f t="shared" si="34"/>
        <v>-16.170951162616841</v>
      </c>
      <c r="CR79" s="45">
        <f t="shared" si="35"/>
        <v>-16.170951162616841</v>
      </c>
      <c r="CS79" s="45">
        <f t="shared" si="36"/>
        <v>0</v>
      </c>
      <c r="CT79" s="45">
        <f t="shared" si="37"/>
        <v>0</v>
      </c>
      <c r="CU79" s="45">
        <f t="shared" si="38"/>
        <v>0</v>
      </c>
      <c r="CV79" s="72">
        <f t="shared" si="39"/>
        <v>-53.5</v>
      </c>
      <c r="CW79" s="72">
        <f t="shared" si="40"/>
        <v>0</v>
      </c>
      <c r="CX79" s="72">
        <f t="shared" si="41"/>
        <v>0</v>
      </c>
      <c r="CY79" s="72">
        <f t="shared" si="42"/>
        <v>0</v>
      </c>
      <c r="CZ79" s="70">
        <f t="shared" si="43"/>
        <v>0</v>
      </c>
    </row>
    <row r="80" spans="25:104">
      <c r="AA80" s="34"/>
      <c r="AB80" s="34"/>
      <c r="AE80" s="34"/>
      <c r="AF80" s="34"/>
      <c r="AG80" s="34"/>
      <c r="AH80" s="34"/>
      <c r="AI80" s="34"/>
      <c r="AJ80" s="34"/>
      <c r="AK80" s="34"/>
      <c r="AL80" s="34"/>
      <c r="AM80" s="34"/>
      <c r="AN80" s="34"/>
      <c r="CB80" s="63">
        <v>4</v>
      </c>
      <c r="CC80" s="63">
        <f>data!$F25</f>
        <v>18</v>
      </c>
      <c r="CD80" s="63">
        <f>data!$G25</f>
        <v>0</v>
      </c>
      <c r="CE80" s="70">
        <f t="shared" si="22"/>
        <v>0</v>
      </c>
      <c r="CF80" s="71">
        <f t="shared" si="23"/>
        <v>0.75</v>
      </c>
      <c r="CG80" s="71">
        <f t="shared" si="24"/>
        <v>0</v>
      </c>
      <c r="CH80" s="72">
        <f t="shared" si="25"/>
        <v>3691.5133620721645</v>
      </c>
      <c r="CI80" s="72">
        <f t="shared" si="26"/>
        <v>906.09280438833423</v>
      </c>
      <c r="CJ80" s="72">
        <f t="shared" si="27"/>
        <v>906.09280438833423</v>
      </c>
      <c r="CK80" s="70">
        <f t="shared" si="28"/>
        <v>0</v>
      </c>
      <c r="CL80" s="72">
        <f t="shared" si="29"/>
        <v>713.37360000000012</v>
      </c>
      <c r="CM80" s="72">
        <f t="shared" si="30"/>
        <v>-29.216666666666697</v>
      </c>
      <c r="CN80" s="72">
        <f t="shared" si="31"/>
        <v>-29.216666666666697</v>
      </c>
      <c r="CO80" s="45">
        <f t="shared" si="32"/>
        <v>5.1747266258131273</v>
      </c>
      <c r="CP80" s="45">
        <f t="shared" si="33"/>
        <v>-31.012874080604675</v>
      </c>
      <c r="CQ80" s="45">
        <f t="shared" si="34"/>
        <v>-31.012874080604675</v>
      </c>
      <c r="CR80" s="45">
        <f t="shared" si="35"/>
        <v>-31.012874080604675</v>
      </c>
      <c r="CS80" s="45">
        <f t="shared" si="36"/>
        <v>0</v>
      </c>
      <c r="CT80" s="45">
        <f t="shared" si="37"/>
        <v>0</v>
      </c>
      <c r="CU80" s="45">
        <f t="shared" si="38"/>
        <v>0</v>
      </c>
      <c r="CV80" s="72">
        <f t="shared" si="39"/>
        <v>-29.216666666666697</v>
      </c>
      <c r="CW80" s="72">
        <f t="shared" si="40"/>
        <v>0</v>
      </c>
      <c r="CX80" s="72">
        <f t="shared" si="41"/>
        <v>0</v>
      </c>
      <c r="CY80" s="72">
        <f t="shared" si="42"/>
        <v>0</v>
      </c>
      <c r="CZ80" s="70">
        <f t="shared" si="43"/>
        <v>0</v>
      </c>
    </row>
    <row r="81" spans="27:104">
      <c r="AA81" s="34"/>
      <c r="AB81" s="34"/>
      <c r="AE81" s="34"/>
      <c r="AF81" s="34"/>
      <c r="AG81" s="34"/>
      <c r="AH81" s="34"/>
      <c r="AI81" s="34"/>
      <c r="AJ81" s="34"/>
      <c r="AK81" s="34"/>
      <c r="AL81" s="34"/>
      <c r="AM81" s="34"/>
      <c r="AN81" s="34"/>
      <c r="CB81" s="63">
        <v>5</v>
      </c>
      <c r="CC81" s="63">
        <f>data!$F26</f>
        <v>19</v>
      </c>
      <c r="CD81" s="63">
        <f>data!$G26</f>
        <v>0</v>
      </c>
      <c r="CE81" s="70">
        <f t="shared" si="22"/>
        <v>0</v>
      </c>
      <c r="CF81" s="71">
        <f t="shared" si="23"/>
        <v>0.75</v>
      </c>
      <c r="CG81" s="71">
        <f t="shared" si="24"/>
        <v>0</v>
      </c>
      <c r="CH81" s="72">
        <f t="shared" si="25"/>
        <v>3652.6234278979196</v>
      </c>
      <c r="CI81" s="72">
        <f t="shared" si="26"/>
        <v>947.03972157666749</v>
      </c>
      <c r="CJ81" s="72">
        <f t="shared" si="27"/>
        <v>947.03972157666749</v>
      </c>
      <c r="CK81" s="70">
        <f t="shared" si="28"/>
        <v>0</v>
      </c>
      <c r="CL81" s="72">
        <f t="shared" si="29"/>
        <v>726.89280000000019</v>
      </c>
      <c r="CM81" s="72">
        <f t="shared" si="30"/>
        <v>-4.9333333333333371</v>
      </c>
      <c r="CN81" s="72">
        <f t="shared" si="31"/>
        <v>-4.9333333333333371</v>
      </c>
      <c r="CO81" s="45">
        <f t="shared" si="32"/>
        <v>5.0249822640944011</v>
      </c>
      <c r="CP81" s="45">
        <f t="shared" si="33"/>
        <v>-191.96751113040543</v>
      </c>
      <c r="CQ81" s="45">
        <f t="shared" si="34"/>
        <v>-191.96751113040543</v>
      </c>
      <c r="CR81" s="45">
        <f t="shared" si="35"/>
        <v>-191.96751113040543</v>
      </c>
      <c r="CS81" s="45">
        <f t="shared" si="36"/>
        <v>0</v>
      </c>
      <c r="CT81" s="45">
        <f t="shared" si="37"/>
        <v>0</v>
      </c>
      <c r="CU81" s="45">
        <f t="shared" si="38"/>
        <v>0</v>
      </c>
      <c r="CV81" s="72">
        <f t="shared" si="39"/>
        <v>-4.9333333333333371</v>
      </c>
      <c r="CW81" s="72">
        <f t="shared" si="40"/>
        <v>0</v>
      </c>
      <c r="CX81" s="72">
        <f t="shared" si="41"/>
        <v>0</v>
      </c>
      <c r="CY81" s="72">
        <f t="shared" si="42"/>
        <v>0</v>
      </c>
      <c r="CZ81" s="70">
        <f t="shared" si="43"/>
        <v>0</v>
      </c>
    </row>
    <row r="82" spans="27:104">
      <c r="AA82" s="34"/>
      <c r="AB82" s="34"/>
      <c r="AE82" s="34"/>
      <c r="AF82" s="34"/>
      <c r="AG82" s="34"/>
      <c r="AH82" s="34"/>
      <c r="AI82" s="34"/>
      <c r="AJ82" s="34"/>
      <c r="AK82" s="34"/>
      <c r="AL82" s="34"/>
      <c r="AM82" s="34"/>
      <c r="AN82" s="34"/>
      <c r="CB82" s="63">
        <v>6</v>
      </c>
      <c r="CC82" s="63">
        <f>data!$F27</f>
        <v>20</v>
      </c>
      <c r="CD82" s="63">
        <f>data!$G27</f>
        <v>0</v>
      </c>
      <c r="CE82" s="70">
        <f t="shared" si="22"/>
        <v>0</v>
      </c>
      <c r="CF82" s="71">
        <f t="shared" si="23"/>
        <v>0.75</v>
      </c>
      <c r="CG82" s="71">
        <f t="shared" si="24"/>
        <v>0</v>
      </c>
      <c r="CH82" s="72">
        <f t="shared" si="25"/>
        <v>3613.7334937236747</v>
      </c>
      <c r="CI82" s="72">
        <f t="shared" si="26"/>
        <v>987.98663876500075</v>
      </c>
      <c r="CJ82" s="72">
        <f t="shared" si="27"/>
        <v>987.98663876500075</v>
      </c>
      <c r="CK82" s="70">
        <f t="shared" si="28"/>
        <v>0</v>
      </c>
      <c r="CL82" s="72">
        <f t="shared" si="29"/>
        <v>740.41200000000015</v>
      </c>
      <c r="CM82" s="72">
        <f t="shared" si="30"/>
        <v>19.350000000000023</v>
      </c>
      <c r="CN82" s="72">
        <f t="shared" si="31"/>
        <v>19.350000000000023</v>
      </c>
      <c r="CO82" s="45">
        <f t="shared" si="32"/>
        <v>4.8807062739713487</v>
      </c>
      <c r="CP82" s="45">
        <f t="shared" si="33"/>
        <v>51.058741021447005</v>
      </c>
      <c r="CQ82" s="45">
        <f t="shared" si="34"/>
        <v>51.058741021447005</v>
      </c>
      <c r="CR82" s="45">
        <f t="shared" si="35"/>
        <v>51.058741021447005</v>
      </c>
      <c r="CS82" s="45">
        <f t="shared" si="36"/>
        <v>0</v>
      </c>
      <c r="CT82" s="45">
        <f t="shared" si="37"/>
        <v>0</v>
      </c>
      <c r="CU82" s="45">
        <f t="shared" si="38"/>
        <v>0</v>
      </c>
      <c r="CV82" s="72">
        <f t="shared" si="39"/>
        <v>19.350000000000023</v>
      </c>
      <c r="CW82" s="72">
        <f t="shared" si="40"/>
        <v>0</v>
      </c>
      <c r="CX82" s="72">
        <f t="shared" si="41"/>
        <v>0</v>
      </c>
      <c r="CY82" s="72">
        <f t="shared" si="42"/>
        <v>0</v>
      </c>
      <c r="CZ82" s="70">
        <f t="shared" si="43"/>
        <v>0</v>
      </c>
    </row>
    <row r="83" spans="27:104">
      <c r="AA83" s="34"/>
      <c r="AB83" s="34"/>
      <c r="AC83" s="34"/>
      <c r="AD83" s="34"/>
      <c r="AE83" s="34"/>
      <c r="AF83" s="34"/>
      <c r="AG83" s="34"/>
      <c r="AH83" s="34"/>
      <c r="AI83" s="34"/>
      <c r="AJ83" s="34"/>
      <c r="AK83" s="34"/>
      <c r="AL83" s="34"/>
      <c r="AM83" s="34"/>
      <c r="AN83" s="34"/>
      <c r="CB83" s="63">
        <v>7</v>
      </c>
      <c r="CC83" s="63">
        <f>data!$F28</f>
        <v>21</v>
      </c>
      <c r="CD83" s="63">
        <f>data!$G28</f>
        <v>130</v>
      </c>
      <c r="CE83" s="70">
        <f t="shared" si="22"/>
        <v>202.02563207399999</v>
      </c>
      <c r="CF83" s="71">
        <f t="shared" si="23"/>
        <v>0.79908617055617792</v>
      </c>
      <c r="CG83" s="71">
        <f t="shared" si="24"/>
        <v>0.19634468222471171</v>
      </c>
      <c r="CH83" s="72">
        <f t="shared" si="25"/>
        <v>3574.8435595494293</v>
      </c>
      <c r="CI83" s="72">
        <f t="shared" si="26"/>
        <v>1028.933555953334</v>
      </c>
      <c r="CJ83" s="72">
        <f t="shared" si="27"/>
        <v>1028.933555953334</v>
      </c>
      <c r="CK83" s="70">
        <f t="shared" si="28"/>
        <v>26263.33216962</v>
      </c>
      <c r="CL83" s="72">
        <f t="shared" si="29"/>
        <v>753.93120000000022</v>
      </c>
      <c r="CM83" s="72">
        <f t="shared" si="30"/>
        <v>43.633333333333326</v>
      </c>
      <c r="CN83" s="72">
        <f t="shared" si="31"/>
        <v>43.633333333333326</v>
      </c>
      <c r="CO83" s="45">
        <f t="shared" si="32"/>
        <v>4.7416044853289376</v>
      </c>
      <c r="CP83" s="45">
        <f t="shared" si="33"/>
        <v>23.581364918716599</v>
      </c>
      <c r="CQ83" s="45">
        <f t="shared" si="34"/>
        <v>23.581364918716599</v>
      </c>
      <c r="CR83" s="45">
        <f t="shared" si="35"/>
        <v>23.581364918716599</v>
      </c>
      <c r="CS83" s="45">
        <f t="shared" si="36"/>
        <v>0</v>
      </c>
      <c r="CT83" s="45">
        <f t="shared" si="37"/>
        <v>0</v>
      </c>
      <c r="CU83" s="45">
        <f t="shared" si="38"/>
        <v>0</v>
      </c>
      <c r="CV83" s="72">
        <f t="shared" si="39"/>
        <v>43.633333333333326</v>
      </c>
      <c r="CW83" s="72">
        <f t="shared" si="40"/>
        <v>0</v>
      </c>
      <c r="CX83" s="72">
        <f t="shared" si="41"/>
        <v>0</v>
      </c>
      <c r="CY83" s="72">
        <f t="shared" si="42"/>
        <v>0</v>
      </c>
      <c r="CZ83" s="70">
        <f t="shared" si="43"/>
        <v>1393.7576782624026</v>
      </c>
    </row>
    <row r="84" spans="27:104">
      <c r="CB84" s="63">
        <v>8</v>
      </c>
      <c r="CC84" s="63">
        <f>data!$F29</f>
        <v>22</v>
      </c>
      <c r="CD84" s="63">
        <f>data!$G29</f>
        <v>167</v>
      </c>
      <c r="CE84" s="70">
        <f t="shared" si="22"/>
        <v>404.05126414799997</v>
      </c>
      <c r="CF84" s="71">
        <f t="shared" si="23"/>
        <v>0.84441504782340715</v>
      </c>
      <c r="CG84" s="71">
        <f t="shared" si="24"/>
        <v>0.37766019129362866</v>
      </c>
      <c r="CH84" s="72">
        <f t="shared" si="25"/>
        <v>3535.9536253751844</v>
      </c>
      <c r="CI84" s="72">
        <f t="shared" si="26"/>
        <v>1069.8804731416672</v>
      </c>
      <c r="CJ84" s="72">
        <f t="shared" si="27"/>
        <v>1069.8804731416672</v>
      </c>
      <c r="CK84" s="70">
        <f t="shared" si="28"/>
        <v>67476.561112715994</v>
      </c>
      <c r="CL84" s="72">
        <f t="shared" si="29"/>
        <v>767.45040000000017</v>
      </c>
      <c r="CM84" s="72">
        <f t="shared" si="30"/>
        <v>67.916666666666686</v>
      </c>
      <c r="CN84" s="72">
        <f t="shared" si="31"/>
        <v>67.916666666666686</v>
      </c>
      <c r="CO84" s="45">
        <f t="shared" si="32"/>
        <v>4.6074034561389032</v>
      </c>
      <c r="CP84" s="45">
        <f t="shared" si="33"/>
        <v>15.752841322331291</v>
      </c>
      <c r="CQ84" s="45">
        <f t="shared" si="34"/>
        <v>15.752841322331291</v>
      </c>
      <c r="CR84" s="45">
        <f t="shared" si="35"/>
        <v>15.752841322331291</v>
      </c>
      <c r="CS84" s="45">
        <f t="shared" si="36"/>
        <v>0</v>
      </c>
      <c r="CT84" s="45">
        <f t="shared" si="37"/>
        <v>0</v>
      </c>
      <c r="CU84" s="45">
        <f t="shared" si="38"/>
        <v>0</v>
      </c>
      <c r="CV84" s="72">
        <f t="shared" si="39"/>
        <v>67.916666666666686</v>
      </c>
      <c r="CW84" s="72">
        <f t="shared" si="40"/>
        <v>0</v>
      </c>
      <c r="CX84" s="72">
        <f t="shared" si="41"/>
        <v>0</v>
      </c>
      <c r="CY84" s="72">
        <f t="shared" si="42"/>
        <v>0</v>
      </c>
      <c r="CZ84" s="70">
        <f t="shared" si="43"/>
        <v>5072.6871487855642</v>
      </c>
    </row>
    <row r="85" spans="27:104">
      <c r="CB85" s="63">
        <v>9</v>
      </c>
      <c r="CC85" s="63">
        <f>data!$F30</f>
        <v>23</v>
      </c>
      <c r="CD85" s="63">
        <f>data!$G30</f>
        <v>231</v>
      </c>
      <c r="CE85" s="70">
        <f t="shared" si="22"/>
        <v>606.07689622200007</v>
      </c>
      <c r="CF85" s="71">
        <f t="shared" si="23"/>
        <v>0.8864021317573807</v>
      </c>
      <c r="CG85" s="71">
        <f t="shared" si="24"/>
        <v>0.54560852702952256</v>
      </c>
      <c r="CH85" s="72">
        <f t="shared" si="25"/>
        <v>3497.0636912009395</v>
      </c>
      <c r="CI85" s="72">
        <f t="shared" si="26"/>
        <v>1110.8273903300005</v>
      </c>
      <c r="CJ85" s="72">
        <f t="shared" si="27"/>
        <v>1110.8273903300005</v>
      </c>
      <c r="CK85" s="70">
        <f t="shared" si="28"/>
        <v>140003.76302728202</v>
      </c>
      <c r="CL85" s="72">
        <f t="shared" si="29"/>
        <v>780.96960000000013</v>
      </c>
      <c r="CM85" s="72">
        <f t="shared" si="30"/>
        <v>92.199999999999989</v>
      </c>
      <c r="CN85" s="72">
        <f t="shared" si="31"/>
        <v>92.199999999999989</v>
      </c>
      <c r="CO85" s="45">
        <f t="shared" si="32"/>
        <v>4.4778486783620499</v>
      </c>
      <c r="CP85" s="45">
        <f t="shared" si="33"/>
        <v>12.048019417895885</v>
      </c>
      <c r="CQ85" s="45">
        <f t="shared" si="34"/>
        <v>12.048019417895885</v>
      </c>
      <c r="CR85" s="45">
        <f t="shared" si="35"/>
        <v>12.048019417895885</v>
      </c>
      <c r="CS85" s="45">
        <f t="shared" si="36"/>
        <v>0</v>
      </c>
      <c r="CT85" s="45">
        <f t="shared" si="37"/>
        <v>0</v>
      </c>
      <c r="CU85" s="45">
        <f t="shared" si="38"/>
        <v>0</v>
      </c>
      <c r="CV85" s="72">
        <f t="shared" si="39"/>
        <v>92.199999999999989</v>
      </c>
      <c r="CW85" s="72">
        <f t="shared" si="40"/>
        <v>0</v>
      </c>
      <c r="CX85" s="72">
        <f t="shared" si="41"/>
        <v>0</v>
      </c>
      <c r="CY85" s="72">
        <f t="shared" si="42"/>
        <v>0</v>
      </c>
      <c r="CZ85" s="70">
        <f t="shared" si="43"/>
        <v>13109.715234259891</v>
      </c>
    </row>
    <row r="86" spans="27:104">
      <c r="CB86" s="63">
        <v>10</v>
      </c>
      <c r="CC86" s="63">
        <f>data!$F31</f>
        <v>24</v>
      </c>
      <c r="CD86" s="63">
        <f>data!$G31</f>
        <v>271</v>
      </c>
      <c r="CE86" s="70">
        <f t="shared" si="22"/>
        <v>808.10252829599995</v>
      </c>
      <c r="CF86" s="71">
        <f t="shared" si="23"/>
        <v>0.92540383628568146</v>
      </c>
      <c r="CG86" s="71">
        <f t="shared" si="24"/>
        <v>0.70161534514272594</v>
      </c>
      <c r="CH86" s="72">
        <f t="shared" si="25"/>
        <v>3458.1737570266946</v>
      </c>
      <c r="CI86" s="72">
        <f t="shared" si="26"/>
        <v>1151.7743075183339</v>
      </c>
      <c r="CJ86" s="72">
        <f t="shared" si="27"/>
        <v>1151.7743075183339</v>
      </c>
      <c r="CK86" s="70">
        <f t="shared" si="28"/>
        <v>218995.78516821598</v>
      </c>
      <c r="CL86" s="72">
        <f t="shared" si="29"/>
        <v>794.48880000000008</v>
      </c>
      <c r="CM86" s="72">
        <f t="shared" si="30"/>
        <v>116.48333333333335</v>
      </c>
      <c r="CN86" s="72">
        <f t="shared" si="31"/>
        <v>116.48333333333335</v>
      </c>
      <c r="CO86" s="45">
        <f t="shared" si="32"/>
        <v>4.3527029670231903</v>
      </c>
      <c r="CP86" s="45">
        <f t="shared" si="33"/>
        <v>9.8878893190871402</v>
      </c>
      <c r="CQ86" s="45">
        <f t="shared" si="34"/>
        <v>9.8878893190871402</v>
      </c>
      <c r="CR86" s="45">
        <f t="shared" si="35"/>
        <v>9.8878893190871402</v>
      </c>
      <c r="CS86" s="45">
        <f t="shared" si="36"/>
        <v>0</v>
      </c>
      <c r="CT86" s="45">
        <f t="shared" si="37"/>
        <v>0</v>
      </c>
      <c r="CU86" s="45">
        <f t="shared" si="38"/>
        <v>0</v>
      </c>
      <c r="CV86" s="72">
        <f t="shared" si="39"/>
        <v>116.48333333333335</v>
      </c>
      <c r="CW86" s="72">
        <f t="shared" si="40"/>
        <v>0</v>
      </c>
      <c r="CX86" s="72">
        <f t="shared" si="41"/>
        <v>0</v>
      </c>
      <c r="CY86" s="72">
        <f t="shared" si="42"/>
        <v>0</v>
      </c>
      <c r="CZ86" s="70">
        <f t="shared" si="43"/>
        <v>23933.205199825949</v>
      </c>
    </row>
    <row r="87" spans="27:104">
      <c r="CB87" s="63">
        <v>11</v>
      </c>
      <c r="CC87" s="63">
        <f>data!$F32</f>
        <v>25</v>
      </c>
      <c r="CD87" s="63">
        <f>data!$G32</f>
        <v>253</v>
      </c>
      <c r="CE87" s="70">
        <f t="shared" si="22"/>
        <v>1010.1281603699998</v>
      </c>
      <c r="CF87" s="71">
        <f t="shared" si="23"/>
        <v>0.96172763162205543</v>
      </c>
      <c r="CG87" s="71">
        <f t="shared" si="24"/>
        <v>0.84691052648822163</v>
      </c>
      <c r="CH87" s="72">
        <f t="shared" si="25"/>
        <v>3419.2838228524497</v>
      </c>
      <c r="CI87" s="72">
        <f t="shared" si="26"/>
        <v>1192.721224706667</v>
      </c>
      <c r="CJ87" s="72">
        <f t="shared" si="27"/>
        <v>1192.721224706667</v>
      </c>
      <c r="CK87" s="70">
        <f t="shared" si="28"/>
        <v>255562.42457360995</v>
      </c>
      <c r="CL87" s="72">
        <f t="shared" si="29"/>
        <v>808.00800000000015</v>
      </c>
      <c r="CM87" s="72">
        <f t="shared" si="30"/>
        <v>140.76666666666668</v>
      </c>
      <c r="CN87" s="72">
        <f t="shared" si="31"/>
        <v>140.76666666666668</v>
      </c>
      <c r="CO87" s="45">
        <f t="shared" si="32"/>
        <v>4.2317450110053976</v>
      </c>
      <c r="CP87" s="45">
        <f t="shared" si="33"/>
        <v>8.4730373528771032</v>
      </c>
      <c r="CQ87" s="45">
        <f t="shared" si="34"/>
        <v>8.4730373528771032</v>
      </c>
      <c r="CR87" s="45">
        <f t="shared" si="35"/>
        <v>8.4730373528771032</v>
      </c>
      <c r="CS87" s="45">
        <f t="shared" si="36"/>
        <v>0</v>
      </c>
      <c r="CT87" s="45">
        <f t="shared" si="37"/>
        <v>0</v>
      </c>
      <c r="CU87" s="45">
        <f t="shared" si="38"/>
        <v>0</v>
      </c>
      <c r="CV87" s="72">
        <f t="shared" si="39"/>
        <v>140.76666666666668</v>
      </c>
      <c r="CW87" s="72">
        <f t="shared" si="40"/>
        <v>0</v>
      </c>
      <c r="CX87" s="72">
        <f t="shared" si="41"/>
        <v>0</v>
      </c>
      <c r="CY87" s="72">
        <f t="shared" si="42"/>
        <v>0</v>
      </c>
      <c r="CZ87" s="70">
        <f t="shared" si="43"/>
        <v>31362.146899252031</v>
      </c>
    </row>
    <row r="88" spans="27:104">
      <c r="CB88" s="63">
        <v>12</v>
      </c>
      <c r="CC88" s="63">
        <f>data!$F33</f>
        <v>26</v>
      </c>
      <c r="CD88" s="63">
        <f>data!$G33</f>
        <v>226</v>
      </c>
      <c r="CE88" s="70">
        <f t="shared" si="22"/>
        <v>1212.1537924440001</v>
      </c>
      <c r="CF88" s="71">
        <f t="shared" si="23"/>
        <v>0.99564016676763001</v>
      </c>
      <c r="CG88" s="71">
        <f t="shared" si="24"/>
        <v>0.98256066707051992</v>
      </c>
      <c r="CH88" s="72">
        <f t="shared" si="25"/>
        <v>3380.3938886782043</v>
      </c>
      <c r="CI88" s="72">
        <f t="shared" si="26"/>
        <v>1233.6681418950002</v>
      </c>
      <c r="CJ88" s="72">
        <f t="shared" si="27"/>
        <v>1233.6681418950002</v>
      </c>
      <c r="CK88" s="70">
        <f t="shared" si="28"/>
        <v>273946.75709234405</v>
      </c>
      <c r="CL88" s="72">
        <f t="shared" si="29"/>
        <v>821.52720000000011</v>
      </c>
      <c r="CM88" s="72">
        <f t="shared" si="30"/>
        <v>165.05</v>
      </c>
      <c r="CN88" s="72">
        <f t="shared" si="31"/>
        <v>165.05</v>
      </c>
      <c r="CO88" s="45">
        <f t="shared" si="32"/>
        <v>4.1147680669346114</v>
      </c>
      <c r="CP88" s="45">
        <f t="shared" si="33"/>
        <v>7.4745116140260537</v>
      </c>
      <c r="CQ88" s="45">
        <f t="shared" si="34"/>
        <v>7.4745116140260537</v>
      </c>
      <c r="CR88" s="45">
        <f t="shared" si="35"/>
        <v>7.4745116140260537</v>
      </c>
      <c r="CS88" s="45">
        <f t="shared" si="36"/>
        <v>0</v>
      </c>
      <c r="CT88" s="45">
        <f t="shared" si="37"/>
        <v>0</v>
      </c>
      <c r="CU88" s="45">
        <f t="shared" si="38"/>
        <v>0</v>
      </c>
      <c r="CV88" s="72">
        <f t="shared" si="39"/>
        <v>165.05</v>
      </c>
      <c r="CW88" s="72">
        <f t="shared" si="40"/>
        <v>0</v>
      </c>
      <c r="CX88" s="72">
        <f t="shared" si="41"/>
        <v>0</v>
      </c>
      <c r="CY88" s="72">
        <f t="shared" si="42"/>
        <v>0</v>
      </c>
      <c r="CZ88" s="70">
        <f t="shared" si="43"/>
        <v>36811.281257952127</v>
      </c>
    </row>
    <row r="89" spans="27:104">
      <c r="CB89" s="63">
        <v>13</v>
      </c>
      <c r="CC89" s="63">
        <f>data!$F34</f>
        <v>27</v>
      </c>
      <c r="CD89" s="63">
        <f>data!$G34</f>
        <v>189</v>
      </c>
      <c r="CE89" s="70">
        <f t="shared" si="22"/>
        <v>1414.1794245179999</v>
      </c>
      <c r="CF89" s="71">
        <f t="shared" si="23"/>
        <v>1</v>
      </c>
      <c r="CG89" s="71">
        <f t="shared" si="24"/>
        <v>1</v>
      </c>
      <c r="CH89" s="72">
        <f t="shared" si="25"/>
        <v>3341.5039545039594</v>
      </c>
      <c r="CI89" s="72">
        <f t="shared" si="26"/>
        <v>1274.6150590833336</v>
      </c>
      <c r="CJ89" s="72">
        <f t="shared" si="27"/>
        <v>1274.6150590833336</v>
      </c>
      <c r="CK89" s="70">
        <f t="shared" si="28"/>
        <v>267279.91123390198</v>
      </c>
      <c r="CL89" s="72">
        <f t="shared" si="29"/>
        <v>835.04640000000006</v>
      </c>
      <c r="CM89" s="72">
        <f t="shared" si="30"/>
        <v>189.33333333333334</v>
      </c>
      <c r="CN89" s="72">
        <f t="shared" si="31"/>
        <v>189.33333333333334</v>
      </c>
      <c r="CO89" s="45">
        <f t="shared" si="32"/>
        <v>4.0015787799384075</v>
      </c>
      <c r="CP89" s="45">
        <f t="shared" si="33"/>
        <v>6.7321217909330997</v>
      </c>
      <c r="CQ89" s="45">
        <f t="shared" si="34"/>
        <v>6.7321217909330997</v>
      </c>
      <c r="CR89" s="45">
        <f t="shared" si="35"/>
        <v>0</v>
      </c>
      <c r="CS89" s="45">
        <f t="shared" si="36"/>
        <v>0</v>
      </c>
      <c r="CT89" s="45">
        <f t="shared" si="37"/>
        <v>6.9574087240851634</v>
      </c>
      <c r="CU89" s="45">
        <f t="shared" si="38"/>
        <v>0</v>
      </c>
      <c r="CV89" s="72">
        <f t="shared" si="39"/>
        <v>0</v>
      </c>
      <c r="CW89" s="72">
        <f t="shared" si="40"/>
        <v>0</v>
      </c>
      <c r="CX89" s="72">
        <f t="shared" si="41"/>
        <v>203.26237549080483</v>
      </c>
      <c r="CY89" s="72">
        <f t="shared" si="42"/>
        <v>0</v>
      </c>
      <c r="CZ89" s="70">
        <f t="shared" si="43"/>
        <v>38416.588967762109</v>
      </c>
    </row>
    <row r="90" spans="27:104">
      <c r="CB90" s="63">
        <v>14</v>
      </c>
      <c r="CC90" s="63">
        <f>data!$F35</f>
        <v>28</v>
      </c>
      <c r="CD90" s="63">
        <f>data!$G35</f>
        <v>149</v>
      </c>
      <c r="CE90" s="70">
        <f t="shared" si="22"/>
        <v>1616.2050565919999</v>
      </c>
      <c r="CF90" s="71">
        <f t="shared" si="23"/>
        <v>1</v>
      </c>
      <c r="CG90" s="71">
        <f t="shared" si="24"/>
        <v>1</v>
      </c>
      <c r="CH90" s="72">
        <f t="shared" si="25"/>
        <v>3302.6140203297145</v>
      </c>
      <c r="CI90" s="72">
        <f t="shared" si="26"/>
        <v>1315.5619762716669</v>
      </c>
      <c r="CJ90" s="72">
        <f t="shared" si="27"/>
        <v>1315.5619762716669</v>
      </c>
      <c r="CK90" s="70">
        <f t="shared" si="28"/>
        <v>240814.55343220799</v>
      </c>
      <c r="CL90" s="72">
        <f t="shared" si="29"/>
        <v>848.56560000000013</v>
      </c>
      <c r="CM90" s="72">
        <f t="shared" si="30"/>
        <v>213.61666666666667</v>
      </c>
      <c r="CN90" s="72">
        <f t="shared" si="31"/>
        <v>213.61666666666667</v>
      </c>
      <c r="CO90" s="45">
        <f t="shared" si="32"/>
        <v>3.8919961171295583</v>
      </c>
      <c r="CP90" s="45">
        <f t="shared" si="33"/>
        <v>6.1585174827416722</v>
      </c>
      <c r="CQ90" s="45">
        <f t="shared" si="34"/>
        <v>6.1585174827416722</v>
      </c>
      <c r="CR90" s="45">
        <f t="shared" si="35"/>
        <v>0</v>
      </c>
      <c r="CS90" s="45">
        <f t="shared" si="36"/>
        <v>0</v>
      </c>
      <c r="CT90" s="45">
        <f t="shared" si="37"/>
        <v>6.4893421120931247</v>
      </c>
      <c r="CU90" s="45">
        <f t="shared" si="38"/>
        <v>0</v>
      </c>
      <c r="CV90" s="72">
        <f t="shared" si="39"/>
        <v>0</v>
      </c>
      <c r="CW90" s="72">
        <f t="shared" si="40"/>
        <v>0</v>
      </c>
      <c r="CX90" s="72">
        <f t="shared" si="41"/>
        <v>249.05530155054441</v>
      </c>
      <c r="CY90" s="72">
        <f t="shared" si="42"/>
        <v>0</v>
      </c>
      <c r="CZ90" s="70">
        <f t="shared" si="43"/>
        <v>37109.239931031116</v>
      </c>
    </row>
    <row r="91" spans="27:104">
      <c r="CB91" s="63">
        <v>15</v>
      </c>
      <c r="CC91" s="63">
        <f>data!$F36</f>
        <v>29</v>
      </c>
      <c r="CD91" s="63">
        <f>data!$G36</f>
        <v>128</v>
      </c>
      <c r="CE91" s="70">
        <f t="shared" si="22"/>
        <v>1818.2306886659999</v>
      </c>
      <c r="CF91" s="71">
        <f t="shared" si="23"/>
        <v>1</v>
      </c>
      <c r="CG91" s="71">
        <f t="shared" si="24"/>
        <v>1</v>
      </c>
      <c r="CH91" s="72">
        <f t="shared" si="25"/>
        <v>3263.7240861554696</v>
      </c>
      <c r="CI91" s="72">
        <f t="shared" si="26"/>
        <v>1356.5088934600001</v>
      </c>
      <c r="CJ91" s="72">
        <f t="shared" si="27"/>
        <v>1356.5088934600001</v>
      </c>
      <c r="CK91" s="70">
        <f t="shared" si="28"/>
        <v>232733.52814924798</v>
      </c>
      <c r="CL91" s="72">
        <f t="shared" si="29"/>
        <v>862.08480000000009</v>
      </c>
      <c r="CM91" s="72">
        <f t="shared" si="30"/>
        <v>237.9</v>
      </c>
      <c r="CN91" s="72">
        <f t="shared" si="31"/>
        <v>237.9</v>
      </c>
      <c r="CO91" s="45">
        <f t="shared" si="32"/>
        <v>3.7858504014401708</v>
      </c>
      <c r="CP91" s="45">
        <f t="shared" si="33"/>
        <v>5.7020130031946197</v>
      </c>
      <c r="CQ91" s="45">
        <f t="shared" si="34"/>
        <v>5.7020130031946197</v>
      </c>
      <c r="CR91" s="45">
        <f t="shared" si="35"/>
        <v>0</v>
      </c>
      <c r="CS91" s="45">
        <f t="shared" si="36"/>
        <v>0</v>
      </c>
      <c r="CT91" s="45">
        <f t="shared" si="37"/>
        <v>6.021275500101086</v>
      </c>
      <c r="CU91" s="45">
        <f t="shared" si="38"/>
        <v>0</v>
      </c>
      <c r="CV91" s="72">
        <f t="shared" si="39"/>
        <v>0</v>
      </c>
      <c r="CW91" s="72">
        <f t="shared" si="40"/>
        <v>0</v>
      </c>
      <c r="CX91" s="72">
        <f t="shared" si="41"/>
        <v>301.96769582050769</v>
      </c>
      <c r="CY91" s="72">
        <f t="shared" si="42"/>
        <v>0</v>
      </c>
      <c r="CZ91" s="70">
        <f t="shared" si="43"/>
        <v>38651.865065024984</v>
      </c>
    </row>
    <row r="92" spans="27:104">
      <c r="CB92" s="63">
        <v>16</v>
      </c>
      <c r="CC92" s="63">
        <f>data!$F37</f>
        <v>30</v>
      </c>
      <c r="CD92" s="63">
        <f>data!$G37</f>
        <v>111</v>
      </c>
      <c r="CE92" s="70">
        <f t="shared" si="22"/>
        <v>2020.2563207399996</v>
      </c>
      <c r="CF92" s="71">
        <f t="shared" si="23"/>
        <v>1</v>
      </c>
      <c r="CG92" s="71">
        <f t="shared" si="24"/>
        <v>1</v>
      </c>
      <c r="CH92" s="72">
        <f t="shared" si="25"/>
        <v>3224.8341519812247</v>
      </c>
      <c r="CI92" s="72">
        <f t="shared" si="26"/>
        <v>1397.4558106483332</v>
      </c>
      <c r="CJ92" s="72">
        <f t="shared" si="27"/>
        <v>1397.4558106483332</v>
      </c>
      <c r="CK92" s="70">
        <f t="shared" si="28"/>
        <v>224248.45160213995</v>
      </c>
      <c r="CL92" s="72">
        <f t="shared" si="29"/>
        <v>875.60400000000004</v>
      </c>
      <c r="CM92" s="72">
        <f t="shared" si="30"/>
        <v>262.18333333333334</v>
      </c>
      <c r="CN92" s="72">
        <f t="shared" si="31"/>
        <v>262.18333333333334</v>
      </c>
      <c r="CO92" s="45">
        <f t="shared" si="32"/>
        <v>3.6829824349605809</v>
      </c>
      <c r="CP92" s="45">
        <f t="shared" si="33"/>
        <v>5.3300711104761298</v>
      </c>
      <c r="CQ92" s="45">
        <f t="shared" si="34"/>
        <v>5.3300711104761298</v>
      </c>
      <c r="CR92" s="45">
        <f t="shared" si="35"/>
        <v>0</v>
      </c>
      <c r="CS92" s="45">
        <f t="shared" si="36"/>
        <v>0</v>
      </c>
      <c r="CT92" s="45">
        <f t="shared" si="37"/>
        <v>5.5532088881090473</v>
      </c>
      <c r="CU92" s="45">
        <f t="shared" si="38"/>
        <v>0</v>
      </c>
      <c r="CV92" s="72">
        <f t="shared" si="39"/>
        <v>0</v>
      </c>
      <c r="CW92" s="72">
        <f t="shared" si="40"/>
        <v>0</v>
      </c>
      <c r="CX92" s="72">
        <f t="shared" si="41"/>
        <v>363.79980682266893</v>
      </c>
      <c r="CY92" s="72">
        <f t="shared" si="42"/>
        <v>0</v>
      </c>
      <c r="CZ92" s="70">
        <f t="shared" si="43"/>
        <v>40381.778557316247</v>
      </c>
    </row>
    <row r="93" spans="27:104">
      <c r="CB93" s="63">
        <v>17</v>
      </c>
      <c r="CC93" s="63">
        <f>data!$F38</f>
        <v>31</v>
      </c>
      <c r="CD93" s="63">
        <f>data!$G38</f>
        <v>84</v>
      </c>
      <c r="CE93" s="70">
        <f t="shared" si="22"/>
        <v>2222.2819528139999</v>
      </c>
      <c r="CF93" s="71">
        <f t="shared" si="23"/>
        <v>1</v>
      </c>
      <c r="CG93" s="71">
        <f t="shared" si="24"/>
        <v>1</v>
      </c>
      <c r="CH93" s="72">
        <f t="shared" si="25"/>
        <v>3185.9442178069799</v>
      </c>
      <c r="CI93" s="72">
        <f t="shared" si="26"/>
        <v>1438.4027278366666</v>
      </c>
      <c r="CJ93" s="72">
        <f t="shared" si="27"/>
        <v>1438.4027278366666</v>
      </c>
      <c r="CK93" s="70">
        <f t="shared" si="28"/>
        <v>186671.68403637598</v>
      </c>
      <c r="CL93" s="72">
        <f t="shared" si="29"/>
        <v>889.12320000000011</v>
      </c>
      <c r="CM93" s="72">
        <f t="shared" si="30"/>
        <v>286.4666666666667</v>
      </c>
      <c r="CN93" s="72">
        <f t="shared" si="31"/>
        <v>286.4666666666667</v>
      </c>
      <c r="CO93" s="45">
        <f t="shared" si="32"/>
        <v>3.5832427022565372</v>
      </c>
      <c r="CP93" s="45">
        <f t="shared" si="33"/>
        <v>5.0211870880963456</v>
      </c>
      <c r="CQ93" s="45">
        <f t="shared" si="34"/>
        <v>5.0211870880963456</v>
      </c>
      <c r="CR93" s="45">
        <f t="shared" si="35"/>
        <v>0</v>
      </c>
      <c r="CS93" s="45">
        <f t="shared" si="36"/>
        <v>0</v>
      </c>
      <c r="CT93" s="45">
        <f t="shared" si="37"/>
        <v>5.0851422761170095</v>
      </c>
      <c r="CU93" s="45">
        <f t="shared" si="38"/>
        <v>0</v>
      </c>
      <c r="CV93" s="72">
        <f t="shared" si="39"/>
        <v>0</v>
      </c>
      <c r="CW93" s="72">
        <f t="shared" si="40"/>
        <v>0</v>
      </c>
      <c r="CX93" s="72">
        <f t="shared" si="41"/>
        <v>437.01470522294289</v>
      </c>
      <c r="CY93" s="72">
        <f t="shared" si="42"/>
        <v>0</v>
      </c>
      <c r="CZ93" s="70">
        <f t="shared" si="43"/>
        <v>36709.235238727204</v>
      </c>
    </row>
    <row r="94" spans="27:104">
      <c r="CB94" s="63">
        <v>18</v>
      </c>
      <c r="CC94" s="63">
        <f>data!$F39</f>
        <v>32</v>
      </c>
      <c r="CD94" s="63">
        <f>data!$G39</f>
        <v>60</v>
      </c>
      <c r="CE94" s="70">
        <f t="shared" si="22"/>
        <v>2424.3075848880003</v>
      </c>
      <c r="CF94" s="71">
        <f t="shared" si="23"/>
        <v>1</v>
      </c>
      <c r="CG94" s="71">
        <f t="shared" si="24"/>
        <v>1</v>
      </c>
      <c r="CH94" s="72">
        <f t="shared" si="25"/>
        <v>3147.054283632735</v>
      </c>
      <c r="CI94" s="72">
        <f t="shared" si="26"/>
        <v>1479.349645025</v>
      </c>
      <c r="CJ94" s="72">
        <f t="shared" si="27"/>
        <v>1479.349645025</v>
      </c>
      <c r="CK94" s="70">
        <f t="shared" si="28"/>
        <v>145458.45509328</v>
      </c>
      <c r="CL94" s="72">
        <f t="shared" si="29"/>
        <v>902.64240000000007</v>
      </c>
      <c r="CM94" s="72">
        <f t="shared" si="30"/>
        <v>310.75</v>
      </c>
      <c r="CN94" s="72">
        <f t="shared" si="31"/>
        <v>310.75</v>
      </c>
      <c r="CO94" s="45">
        <f t="shared" si="32"/>
        <v>3.4864906452796087</v>
      </c>
      <c r="CP94" s="45">
        <f t="shared" si="33"/>
        <v>4.7605781014481092</v>
      </c>
      <c r="CQ94" s="45">
        <f t="shared" si="34"/>
        <v>4.7605781014481092</v>
      </c>
      <c r="CR94" s="45">
        <f t="shared" si="35"/>
        <v>0</v>
      </c>
      <c r="CS94" s="45">
        <f t="shared" si="36"/>
        <v>0</v>
      </c>
      <c r="CT94" s="45">
        <f t="shared" si="37"/>
        <v>4.6170756641249699</v>
      </c>
      <c r="CU94" s="45">
        <f t="shared" si="38"/>
        <v>0</v>
      </c>
      <c r="CV94" s="72">
        <f t="shared" si="39"/>
        <v>0</v>
      </c>
      <c r="CW94" s="72">
        <f t="shared" si="40"/>
        <v>0</v>
      </c>
      <c r="CX94" s="72">
        <f t="shared" si="41"/>
        <v>525.07425938999768</v>
      </c>
      <c r="CY94" s="72">
        <f t="shared" si="42"/>
        <v>0</v>
      </c>
      <c r="CZ94" s="70">
        <f t="shared" si="43"/>
        <v>31504.455563399861</v>
      </c>
    </row>
    <row r="95" spans="27:104">
      <c r="CB95" s="63">
        <v>19</v>
      </c>
      <c r="CC95" s="63">
        <f>data!$F40</f>
        <v>33</v>
      </c>
      <c r="CD95" s="63">
        <f>data!$G40</f>
        <v>38</v>
      </c>
      <c r="CE95" s="70">
        <f t="shared" si="22"/>
        <v>2626.3332169619998</v>
      </c>
      <c r="CF95" s="71">
        <f t="shared" si="23"/>
        <v>1</v>
      </c>
      <c r="CG95" s="71">
        <f t="shared" si="24"/>
        <v>1</v>
      </c>
      <c r="CH95" s="72">
        <f t="shared" si="25"/>
        <v>3108.1643494584896</v>
      </c>
      <c r="CI95" s="72">
        <f t="shared" si="26"/>
        <v>1520.2965622133331</v>
      </c>
      <c r="CJ95" s="72">
        <f t="shared" si="27"/>
        <v>1520.2965622133331</v>
      </c>
      <c r="CK95" s="70">
        <f t="shared" si="28"/>
        <v>99800.662244555991</v>
      </c>
      <c r="CL95" s="72">
        <f t="shared" si="29"/>
        <v>916.16160000000002</v>
      </c>
      <c r="CM95" s="72">
        <f t="shared" si="30"/>
        <v>335.03333333333336</v>
      </c>
      <c r="CN95" s="72">
        <f t="shared" si="31"/>
        <v>335.03333333333336</v>
      </c>
      <c r="CO95" s="45">
        <f t="shared" si="32"/>
        <v>3.3925940024756436</v>
      </c>
      <c r="CP95" s="45">
        <f t="shared" si="33"/>
        <v>4.5377471760421839</v>
      </c>
      <c r="CQ95" s="45">
        <f t="shared" si="34"/>
        <v>4.5377471760421839</v>
      </c>
      <c r="CR95" s="45">
        <f t="shared" si="35"/>
        <v>0</v>
      </c>
      <c r="CS95" s="45">
        <f t="shared" si="36"/>
        <v>0</v>
      </c>
      <c r="CT95" s="45">
        <f t="shared" si="37"/>
        <v>4.1490090521329321</v>
      </c>
      <c r="CU95" s="45">
        <f t="shared" si="38"/>
        <v>0</v>
      </c>
      <c r="CV95" s="72">
        <f t="shared" si="39"/>
        <v>0</v>
      </c>
      <c r="CW95" s="72">
        <f t="shared" si="40"/>
        <v>0</v>
      </c>
      <c r="CX95" s="72">
        <f t="shared" si="41"/>
        <v>633.00252758230272</v>
      </c>
      <c r="CY95" s="72">
        <f t="shared" si="42"/>
        <v>0</v>
      </c>
      <c r="CZ95" s="70">
        <f t="shared" si="43"/>
        <v>24054.096048127503</v>
      </c>
    </row>
    <row r="96" spans="27:104">
      <c r="CB96" s="63">
        <v>20</v>
      </c>
      <c r="CC96" s="63">
        <f>data!$F41</f>
        <v>34</v>
      </c>
      <c r="CD96" s="63">
        <f>data!$G41</f>
        <v>22</v>
      </c>
      <c r="CE96" s="70">
        <f t="shared" si="22"/>
        <v>2828.3588490359998</v>
      </c>
      <c r="CF96" s="71">
        <f t="shared" si="23"/>
        <v>1</v>
      </c>
      <c r="CG96" s="71">
        <f t="shared" si="24"/>
        <v>1</v>
      </c>
      <c r="CH96" s="72">
        <f t="shared" si="25"/>
        <v>3069.2744152842447</v>
      </c>
      <c r="CI96" s="72">
        <f t="shared" si="26"/>
        <v>1561.2434794016663</v>
      </c>
      <c r="CJ96" s="72">
        <f t="shared" si="27"/>
        <v>1561.2434794016663</v>
      </c>
      <c r="CK96" s="70">
        <f t="shared" si="28"/>
        <v>62223.894678791999</v>
      </c>
      <c r="CL96" s="72">
        <f t="shared" si="29"/>
        <v>929.68080000000009</v>
      </c>
      <c r="CM96" s="72">
        <f t="shared" si="30"/>
        <v>359.31666666666666</v>
      </c>
      <c r="CN96" s="72">
        <f t="shared" si="31"/>
        <v>359.31666666666666</v>
      </c>
      <c r="CO96" s="45">
        <f t="shared" si="32"/>
        <v>3.3014282055564066</v>
      </c>
      <c r="CP96" s="45">
        <f t="shared" si="33"/>
        <v>4.3450349628507805</v>
      </c>
      <c r="CQ96" s="45">
        <f t="shared" si="34"/>
        <v>4.3450349628507805</v>
      </c>
      <c r="CR96" s="45">
        <f t="shared" si="35"/>
        <v>0</v>
      </c>
      <c r="CS96" s="45">
        <f t="shared" si="36"/>
        <v>0</v>
      </c>
      <c r="CT96" s="45">
        <f t="shared" si="37"/>
        <v>3.6809424401408934</v>
      </c>
      <c r="CU96" s="45">
        <f t="shared" si="38"/>
        <v>0</v>
      </c>
      <c r="CV96" s="72">
        <f t="shared" si="39"/>
        <v>0</v>
      </c>
      <c r="CW96" s="72">
        <f t="shared" si="40"/>
        <v>0</v>
      </c>
      <c r="CX96" s="72">
        <f t="shared" si="41"/>
        <v>768.3789939751789</v>
      </c>
      <c r="CY96" s="72">
        <f t="shared" si="42"/>
        <v>0</v>
      </c>
      <c r="CZ96" s="70">
        <f t="shared" si="43"/>
        <v>16904.337867453934</v>
      </c>
    </row>
    <row r="97" spans="79:104">
      <c r="CB97" s="63">
        <v>21</v>
      </c>
      <c r="CC97" s="63">
        <f>data!$F42</f>
        <v>35</v>
      </c>
      <c r="CD97" s="63">
        <f>data!$G42</f>
        <v>12</v>
      </c>
      <c r="CE97" s="70">
        <f t="shared" si="22"/>
        <v>3030.3844811099998</v>
      </c>
      <c r="CF97" s="71">
        <f t="shared" si="23"/>
        <v>1</v>
      </c>
      <c r="CG97" s="71">
        <f t="shared" si="24"/>
        <v>1</v>
      </c>
      <c r="CH97" s="72">
        <f t="shared" si="25"/>
        <v>3030.3844811099998</v>
      </c>
      <c r="CI97" s="72">
        <f t="shared" si="26"/>
        <v>1602.1903965899996</v>
      </c>
      <c r="CJ97" s="72">
        <f t="shared" si="27"/>
        <v>1602.1903965899996</v>
      </c>
      <c r="CK97" s="70">
        <f t="shared" si="28"/>
        <v>36364.613773320001</v>
      </c>
      <c r="CL97" s="72">
        <f t="shared" si="29"/>
        <v>943.2</v>
      </c>
      <c r="CM97" s="72">
        <f t="shared" si="30"/>
        <v>383.6</v>
      </c>
      <c r="CN97" s="72">
        <f t="shared" si="31"/>
        <v>383.6</v>
      </c>
      <c r="CO97" s="45">
        <f t="shared" si="32"/>
        <v>3.2128758281488548</v>
      </c>
      <c r="CP97" s="45">
        <f t="shared" si="33"/>
        <v>4.1767215760948897</v>
      </c>
      <c r="CQ97" s="45">
        <f t="shared" si="34"/>
        <v>4.1767215760948897</v>
      </c>
      <c r="CR97" s="45">
        <f t="shared" si="35"/>
        <v>0</v>
      </c>
      <c r="CS97" s="45">
        <f t="shared" si="36"/>
        <v>0</v>
      </c>
      <c r="CT97" s="45">
        <f t="shared" si="37"/>
        <v>3.2128758281488548</v>
      </c>
      <c r="CU97" s="45">
        <f t="shared" si="38"/>
        <v>0</v>
      </c>
      <c r="CV97" s="72">
        <f t="shared" si="39"/>
        <v>0</v>
      </c>
      <c r="CW97" s="72">
        <f t="shared" si="40"/>
        <v>0</v>
      </c>
      <c r="CX97" s="72">
        <f t="shared" si="41"/>
        <v>943.2</v>
      </c>
      <c r="CY97" s="72">
        <f t="shared" si="42"/>
        <v>0</v>
      </c>
      <c r="CZ97" s="70">
        <f t="shared" si="43"/>
        <v>11318.400000000001</v>
      </c>
    </row>
    <row r="98" spans="79:104">
      <c r="CB98" s="63">
        <v>22</v>
      </c>
      <c r="CC98" s="63">
        <f>data!$F43</f>
        <v>36</v>
      </c>
      <c r="CD98" s="63">
        <f>data!$G43</f>
        <v>5</v>
      </c>
      <c r="CE98" s="70">
        <f t="shared" si="22"/>
        <v>3232.4101131839998</v>
      </c>
      <c r="CF98" s="71">
        <f t="shared" si="23"/>
        <v>1</v>
      </c>
      <c r="CG98" s="71">
        <f t="shared" si="24"/>
        <v>1</v>
      </c>
      <c r="CH98" s="72">
        <f t="shared" si="25"/>
        <v>2991.4945469357549</v>
      </c>
      <c r="CI98" s="72">
        <f t="shared" si="26"/>
        <v>1643.137313778333</v>
      </c>
      <c r="CJ98" s="72">
        <f t="shared" si="27"/>
        <v>1643.137313778333</v>
      </c>
      <c r="CK98" s="70">
        <f t="shared" si="28"/>
        <v>14957.472734678775</v>
      </c>
      <c r="CL98" s="72">
        <f t="shared" si="29"/>
        <v>956.7192</v>
      </c>
      <c r="CM98" s="72">
        <f t="shared" si="30"/>
        <v>407.88333333333338</v>
      </c>
      <c r="CN98" s="72">
        <f t="shared" si="31"/>
        <v>407.88333333333338</v>
      </c>
      <c r="CO98" s="45">
        <f t="shared" si="32"/>
        <v>3.1268260811905466</v>
      </c>
      <c r="CP98" s="45">
        <f t="shared" si="33"/>
        <v>4.0284492635434956</v>
      </c>
      <c r="CQ98" s="45">
        <f t="shared" si="34"/>
        <v>4.0284492635434956</v>
      </c>
      <c r="CR98" s="45">
        <f t="shared" si="35"/>
        <v>0</v>
      </c>
      <c r="CS98" s="45">
        <f t="shared" si="36"/>
        <v>0</v>
      </c>
      <c r="CT98" s="45">
        <f t="shared" si="37"/>
        <v>0</v>
      </c>
      <c r="CU98" s="45">
        <f t="shared" si="38"/>
        <v>3.1268260811905466</v>
      </c>
      <c r="CV98" s="72">
        <f t="shared" si="39"/>
        <v>0</v>
      </c>
      <c r="CW98" s="72">
        <f t="shared" si="40"/>
        <v>0</v>
      </c>
      <c r="CX98" s="72">
        <f t="shared" si="41"/>
        <v>0</v>
      </c>
      <c r="CY98" s="72">
        <f t="shared" si="42"/>
        <v>956.7192</v>
      </c>
      <c r="CZ98" s="70">
        <f t="shared" si="43"/>
        <v>4783.5959999999995</v>
      </c>
    </row>
    <row r="99" spans="79:104">
      <c r="CB99" s="63">
        <v>23</v>
      </c>
      <c r="CC99" s="63">
        <f>data!$F44</f>
        <v>37</v>
      </c>
      <c r="CD99" s="63">
        <f>data!$G44</f>
        <v>3</v>
      </c>
      <c r="CE99" s="70">
        <f t="shared" si="22"/>
        <v>3434.4357452579998</v>
      </c>
      <c r="CF99" s="71">
        <f t="shared" si="23"/>
        <v>1</v>
      </c>
      <c r="CG99" s="71">
        <f t="shared" si="24"/>
        <v>1</v>
      </c>
      <c r="CH99" s="72">
        <f t="shared" si="25"/>
        <v>2952.60461276151</v>
      </c>
      <c r="CI99" s="72">
        <f t="shared" si="26"/>
        <v>1684.0842309666662</v>
      </c>
      <c r="CJ99" s="72">
        <f t="shared" si="27"/>
        <v>1684.0842309666662</v>
      </c>
      <c r="CK99" s="70">
        <f t="shared" si="28"/>
        <v>8857.81383828453</v>
      </c>
      <c r="CL99" s="72">
        <f t="shared" si="29"/>
        <v>970.23840000000007</v>
      </c>
      <c r="CM99" s="72">
        <f t="shared" si="30"/>
        <v>432.16666666666669</v>
      </c>
      <c r="CN99" s="72">
        <f t="shared" si="31"/>
        <v>432.16666666666669</v>
      </c>
      <c r="CO99" s="45">
        <f t="shared" si="32"/>
        <v>3.0431743505116988</v>
      </c>
      <c r="CP99" s="45">
        <f t="shared" si="33"/>
        <v>3.8968397168530644</v>
      </c>
      <c r="CQ99" s="45">
        <f t="shared" si="34"/>
        <v>3.8968397168530644</v>
      </c>
      <c r="CR99" s="45">
        <f t="shared" si="35"/>
        <v>0</v>
      </c>
      <c r="CS99" s="45">
        <f t="shared" si="36"/>
        <v>0</v>
      </c>
      <c r="CT99" s="45">
        <f t="shared" si="37"/>
        <v>0</v>
      </c>
      <c r="CU99" s="45">
        <f t="shared" si="38"/>
        <v>3.0431743505116988</v>
      </c>
      <c r="CV99" s="72">
        <f t="shared" si="39"/>
        <v>0</v>
      </c>
      <c r="CW99" s="72">
        <f t="shared" si="40"/>
        <v>0</v>
      </c>
      <c r="CX99" s="72">
        <f t="shared" si="41"/>
        <v>0</v>
      </c>
      <c r="CY99" s="72">
        <f t="shared" si="42"/>
        <v>970.23840000000007</v>
      </c>
      <c r="CZ99" s="70">
        <f t="shared" si="43"/>
        <v>2910.7152000000001</v>
      </c>
    </row>
    <row r="100" spans="79:104">
      <c r="CB100" s="63">
        <v>24</v>
      </c>
      <c r="CC100" s="63">
        <f>data!$F45</f>
        <v>38</v>
      </c>
      <c r="CD100" s="63">
        <f>data!$G45</f>
        <v>1</v>
      </c>
      <c r="CE100" s="70">
        <f t="shared" si="22"/>
        <v>3636.4613773319998</v>
      </c>
      <c r="CF100" s="71">
        <f t="shared" si="23"/>
        <v>1</v>
      </c>
      <c r="CG100" s="71">
        <f t="shared" si="24"/>
        <v>1</v>
      </c>
      <c r="CH100" s="72">
        <f t="shared" si="25"/>
        <v>2913.7146785872646</v>
      </c>
      <c r="CI100" s="72">
        <f t="shared" si="26"/>
        <v>1725.0311481549993</v>
      </c>
      <c r="CJ100" s="72">
        <f t="shared" si="27"/>
        <v>1725.0311481549993</v>
      </c>
      <c r="CK100" s="70">
        <f t="shared" si="28"/>
        <v>2913.7146785872646</v>
      </c>
      <c r="CL100" s="72">
        <f t="shared" si="29"/>
        <v>983.75760000000002</v>
      </c>
      <c r="CM100" s="72">
        <f t="shared" si="30"/>
        <v>456.45000000000005</v>
      </c>
      <c r="CN100" s="72">
        <f t="shared" si="31"/>
        <v>456.45000000000005</v>
      </c>
      <c r="CO100" s="45">
        <f t="shared" si="32"/>
        <v>2.9618217725456604</v>
      </c>
      <c r="CP100" s="45">
        <f t="shared" si="33"/>
        <v>3.7792335374192114</v>
      </c>
      <c r="CQ100" s="45">
        <f t="shared" si="34"/>
        <v>3.7792335374192114</v>
      </c>
      <c r="CR100" s="45">
        <f t="shared" si="35"/>
        <v>0</v>
      </c>
      <c r="CS100" s="45">
        <f t="shared" si="36"/>
        <v>0</v>
      </c>
      <c r="CT100" s="45">
        <f t="shared" si="37"/>
        <v>0</v>
      </c>
      <c r="CU100" s="45">
        <f t="shared" si="38"/>
        <v>2.9618217725456604</v>
      </c>
      <c r="CV100" s="72">
        <f t="shared" si="39"/>
        <v>0</v>
      </c>
      <c r="CW100" s="72">
        <f t="shared" si="40"/>
        <v>0</v>
      </c>
      <c r="CX100" s="72">
        <f t="shared" si="41"/>
        <v>0</v>
      </c>
      <c r="CY100" s="72">
        <f t="shared" si="42"/>
        <v>983.75760000000002</v>
      </c>
      <c r="CZ100" s="70">
        <f t="shared" si="43"/>
        <v>983.75760000000002</v>
      </c>
    </row>
    <row r="101" spans="79:104">
      <c r="CB101" s="63">
        <v>25</v>
      </c>
      <c r="CC101" s="63">
        <f>data!$F46</f>
        <v>39</v>
      </c>
      <c r="CD101" s="63">
        <f>data!$G46</f>
        <v>0</v>
      </c>
      <c r="CE101" s="70">
        <f t="shared" si="22"/>
        <v>3838.4870094059997</v>
      </c>
      <c r="CF101" s="71">
        <f t="shared" si="23"/>
        <v>1</v>
      </c>
      <c r="CG101" s="71">
        <f t="shared" si="24"/>
        <v>1</v>
      </c>
      <c r="CH101" s="72">
        <f t="shared" si="25"/>
        <v>2874.8247444130197</v>
      </c>
      <c r="CI101" s="72">
        <f t="shared" si="26"/>
        <v>1765.9780653433327</v>
      </c>
      <c r="CJ101" s="72">
        <f t="shared" si="27"/>
        <v>1765.9780653433327</v>
      </c>
      <c r="CK101" s="70">
        <f t="shared" si="28"/>
        <v>0</v>
      </c>
      <c r="CL101" s="72">
        <f t="shared" si="29"/>
        <v>997.27679999999998</v>
      </c>
      <c r="CM101" s="72">
        <f t="shared" si="30"/>
        <v>480.73333333333335</v>
      </c>
      <c r="CN101" s="72">
        <f t="shared" si="31"/>
        <v>480.73333333333335</v>
      </c>
      <c r="CO101" s="45">
        <f t="shared" si="32"/>
        <v>2.8826748445496975</v>
      </c>
      <c r="CP101" s="45">
        <f t="shared" si="33"/>
        <v>3.6735086645610857</v>
      </c>
      <c r="CQ101" s="45">
        <f t="shared" si="34"/>
        <v>3.6735086645610857</v>
      </c>
      <c r="CR101" s="45">
        <f t="shared" si="35"/>
        <v>0</v>
      </c>
      <c r="CS101" s="45">
        <f t="shared" si="36"/>
        <v>0</v>
      </c>
      <c r="CT101" s="45">
        <f t="shared" si="37"/>
        <v>0</v>
      </c>
      <c r="CU101" s="45">
        <f t="shared" si="38"/>
        <v>2.8826748445496975</v>
      </c>
      <c r="CV101" s="72">
        <f t="shared" si="39"/>
        <v>0</v>
      </c>
      <c r="CW101" s="72">
        <f t="shared" si="40"/>
        <v>0</v>
      </c>
      <c r="CX101" s="72">
        <f t="shared" si="41"/>
        <v>0</v>
      </c>
      <c r="CY101" s="72">
        <f t="shared" si="42"/>
        <v>997.27679999999998</v>
      </c>
      <c r="CZ101" s="70">
        <f t="shared" si="43"/>
        <v>0</v>
      </c>
    </row>
    <row r="102" spans="79:104">
      <c r="CB102" s="63">
        <v>26</v>
      </c>
      <c r="CC102" s="63">
        <f>data!$F47</f>
        <v>40</v>
      </c>
      <c r="CD102" s="63">
        <f>data!$G47</f>
        <v>0</v>
      </c>
      <c r="CE102" s="70">
        <f t="shared" si="22"/>
        <v>4040.5126414799993</v>
      </c>
      <c r="CF102" s="71">
        <f t="shared" si="23"/>
        <v>1</v>
      </c>
      <c r="CG102" s="71">
        <f t="shared" si="24"/>
        <v>1</v>
      </c>
      <c r="CH102" s="72">
        <f t="shared" si="25"/>
        <v>2835.9348102387748</v>
      </c>
      <c r="CI102" s="72">
        <f t="shared" si="26"/>
        <v>1806.924982531666</v>
      </c>
      <c r="CJ102" s="72">
        <f t="shared" si="27"/>
        <v>1806.924982531666</v>
      </c>
      <c r="CK102" s="70">
        <f t="shared" si="28"/>
        <v>0</v>
      </c>
      <c r="CL102" s="72">
        <f t="shared" si="29"/>
        <v>1010.796</v>
      </c>
      <c r="CM102" s="72">
        <f t="shared" si="30"/>
        <v>505.01666666666671</v>
      </c>
      <c r="CN102" s="72">
        <f t="shared" si="31"/>
        <v>505.01666666666671</v>
      </c>
      <c r="CO102" s="45">
        <f t="shared" si="32"/>
        <v>2.8056450661051042</v>
      </c>
      <c r="CP102" s="45">
        <f t="shared" si="33"/>
        <v>3.5779511881423041</v>
      </c>
      <c r="CQ102" s="45">
        <f t="shared" si="34"/>
        <v>3.5779511881423041</v>
      </c>
      <c r="CR102" s="45">
        <f t="shared" si="35"/>
        <v>0</v>
      </c>
      <c r="CS102" s="45">
        <f t="shared" si="36"/>
        <v>0</v>
      </c>
      <c r="CT102" s="45">
        <f t="shared" si="37"/>
        <v>0</v>
      </c>
      <c r="CU102" s="45">
        <f t="shared" si="38"/>
        <v>2.8056450661051042</v>
      </c>
      <c r="CV102" s="72">
        <f t="shared" si="39"/>
        <v>0</v>
      </c>
      <c r="CW102" s="72">
        <f t="shared" si="40"/>
        <v>0</v>
      </c>
      <c r="CX102" s="72">
        <f t="shared" si="41"/>
        <v>0</v>
      </c>
      <c r="CY102" s="72">
        <f t="shared" si="42"/>
        <v>1010.7959999999999</v>
      </c>
      <c r="CZ102" s="70">
        <f t="shared" si="43"/>
        <v>0</v>
      </c>
    </row>
    <row r="103" spans="79:104">
      <c r="CB103" s="63">
        <v>27</v>
      </c>
      <c r="CC103" s="63">
        <f>data!$F48</f>
        <v>41</v>
      </c>
      <c r="CD103" s="63">
        <f>data!$G48</f>
        <v>0</v>
      </c>
      <c r="CE103" s="70">
        <f t="shared" si="22"/>
        <v>4242.5382735539997</v>
      </c>
      <c r="CF103" s="71">
        <f t="shared" si="23"/>
        <v>1</v>
      </c>
      <c r="CG103" s="71">
        <f t="shared" si="24"/>
        <v>1</v>
      </c>
      <c r="CH103" s="72">
        <f t="shared" si="25"/>
        <v>2797.0448760645299</v>
      </c>
      <c r="CI103" s="72">
        <f t="shared" si="26"/>
        <v>1847.8718997199992</v>
      </c>
      <c r="CJ103" s="72">
        <f t="shared" si="27"/>
        <v>1847.8718997199992</v>
      </c>
      <c r="CK103" s="70">
        <f t="shared" si="28"/>
        <v>0</v>
      </c>
      <c r="CL103" s="72">
        <f t="shared" si="29"/>
        <v>1024.3152</v>
      </c>
      <c r="CM103" s="72">
        <f t="shared" si="30"/>
        <v>529.30000000000007</v>
      </c>
      <c r="CN103" s="72">
        <f t="shared" si="31"/>
        <v>529.30000000000007</v>
      </c>
      <c r="CO103" s="45">
        <f t="shared" si="32"/>
        <v>2.7306486090068076</v>
      </c>
      <c r="CP103" s="45">
        <f t="shared" si="33"/>
        <v>3.4911617225014151</v>
      </c>
      <c r="CQ103" s="45">
        <f t="shared" si="34"/>
        <v>3.4911617225014151</v>
      </c>
      <c r="CR103" s="45">
        <f t="shared" si="35"/>
        <v>0</v>
      </c>
      <c r="CS103" s="45">
        <f t="shared" si="36"/>
        <v>0</v>
      </c>
      <c r="CT103" s="45">
        <f t="shared" si="37"/>
        <v>0</v>
      </c>
      <c r="CU103" s="45">
        <f t="shared" si="38"/>
        <v>2.7306486090068076</v>
      </c>
      <c r="CV103" s="72">
        <f t="shared" si="39"/>
        <v>0</v>
      </c>
      <c r="CW103" s="72">
        <f t="shared" si="40"/>
        <v>0</v>
      </c>
      <c r="CX103" s="72">
        <f t="shared" si="41"/>
        <v>0</v>
      </c>
      <c r="CY103" s="72">
        <f t="shared" si="42"/>
        <v>1024.3152</v>
      </c>
      <c r="CZ103" s="70">
        <f t="shared" si="43"/>
        <v>0</v>
      </c>
    </row>
    <row r="104" spans="79:104">
      <c r="CB104" s="63">
        <v>28</v>
      </c>
      <c r="CC104" s="63">
        <f>data!$F49</f>
        <v>42</v>
      </c>
      <c r="CD104" s="63">
        <f>data!$G49</f>
        <v>0</v>
      </c>
      <c r="CE104" s="70">
        <f t="shared" si="22"/>
        <v>4444.5639056279997</v>
      </c>
      <c r="CF104" s="71">
        <f t="shared" si="23"/>
        <v>1</v>
      </c>
      <c r="CG104" s="71">
        <f t="shared" si="24"/>
        <v>1</v>
      </c>
      <c r="CH104" s="72">
        <f t="shared" si="25"/>
        <v>2758.154941890285</v>
      </c>
      <c r="CI104" s="72">
        <f t="shared" si="26"/>
        <v>1888.8188169083323</v>
      </c>
      <c r="CJ104" s="72">
        <f t="shared" si="27"/>
        <v>1888.8188169083323</v>
      </c>
      <c r="CK104" s="70">
        <f t="shared" si="28"/>
        <v>0</v>
      </c>
      <c r="CL104" s="72">
        <f t="shared" si="29"/>
        <v>1037.8344</v>
      </c>
      <c r="CM104" s="72">
        <f t="shared" si="30"/>
        <v>553.58333333333337</v>
      </c>
      <c r="CN104" s="72">
        <f t="shared" si="31"/>
        <v>553.58333333333337</v>
      </c>
      <c r="CO104" s="45">
        <f t="shared" si="32"/>
        <v>2.6576060129537864</v>
      </c>
      <c r="CP104" s="45">
        <f t="shared" si="33"/>
        <v>3.4119864222339285</v>
      </c>
      <c r="CQ104" s="45">
        <f t="shared" si="34"/>
        <v>3.4119864222339285</v>
      </c>
      <c r="CR104" s="45">
        <f t="shared" si="35"/>
        <v>0</v>
      </c>
      <c r="CS104" s="45">
        <f t="shared" si="36"/>
        <v>0</v>
      </c>
      <c r="CT104" s="45">
        <f t="shared" si="37"/>
        <v>0</v>
      </c>
      <c r="CU104" s="45">
        <f t="shared" si="38"/>
        <v>2.6576060129537864</v>
      </c>
      <c r="CV104" s="72">
        <f t="shared" si="39"/>
        <v>0</v>
      </c>
      <c r="CW104" s="72">
        <f t="shared" si="40"/>
        <v>0</v>
      </c>
      <c r="CX104" s="72">
        <f t="shared" si="41"/>
        <v>0</v>
      </c>
      <c r="CY104" s="72">
        <f t="shared" si="42"/>
        <v>1037.8344</v>
      </c>
      <c r="CZ104" s="70">
        <f t="shared" si="43"/>
        <v>0</v>
      </c>
    </row>
    <row r="105" spans="79:104">
      <c r="CB105" s="63">
        <v>29</v>
      </c>
      <c r="CC105" s="63">
        <f>data!$F50</f>
        <v>43</v>
      </c>
      <c r="CD105" s="63">
        <f>data!$G50</f>
        <v>0</v>
      </c>
      <c r="CE105" s="70">
        <f t="shared" si="22"/>
        <v>4646.5895377019997</v>
      </c>
      <c r="CF105" s="71">
        <f t="shared" si="23"/>
        <v>1</v>
      </c>
      <c r="CG105" s="71">
        <f t="shared" si="24"/>
        <v>1</v>
      </c>
      <c r="CH105" s="72">
        <f t="shared" si="25"/>
        <v>2719.2650077160401</v>
      </c>
      <c r="CI105" s="72">
        <f t="shared" si="26"/>
        <v>1929.7657340966657</v>
      </c>
      <c r="CJ105" s="72">
        <f t="shared" si="27"/>
        <v>1929.7657340966657</v>
      </c>
      <c r="CK105" s="70">
        <f t="shared" si="28"/>
        <v>0</v>
      </c>
      <c r="CL105" s="72">
        <f t="shared" si="29"/>
        <v>1051.3535999999999</v>
      </c>
      <c r="CM105" s="72">
        <f t="shared" si="30"/>
        <v>577.86666666666667</v>
      </c>
      <c r="CN105" s="72">
        <f t="shared" si="31"/>
        <v>577.86666666666667</v>
      </c>
      <c r="CO105" s="45">
        <f t="shared" si="32"/>
        <v>2.5864419047179181</v>
      </c>
      <c r="CP105" s="45">
        <f t="shared" si="33"/>
        <v>3.339465391260958</v>
      </c>
      <c r="CQ105" s="45">
        <f t="shared" si="34"/>
        <v>3.339465391260958</v>
      </c>
      <c r="CR105" s="45">
        <f t="shared" si="35"/>
        <v>0</v>
      </c>
      <c r="CS105" s="45">
        <f t="shared" si="36"/>
        <v>0</v>
      </c>
      <c r="CT105" s="45">
        <f t="shared" si="37"/>
        <v>0</v>
      </c>
      <c r="CU105" s="45">
        <f t="shared" si="38"/>
        <v>2.5864419047179181</v>
      </c>
      <c r="CV105" s="72">
        <f t="shared" si="39"/>
        <v>0</v>
      </c>
      <c r="CW105" s="72">
        <f t="shared" si="40"/>
        <v>0</v>
      </c>
      <c r="CX105" s="72">
        <f t="shared" si="41"/>
        <v>0</v>
      </c>
      <c r="CY105" s="72">
        <f t="shared" si="42"/>
        <v>1051.3535999999999</v>
      </c>
      <c r="CZ105" s="70">
        <f t="shared" si="43"/>
        <v>0</v>
      </c>
    </row>
    <row r="106" spans="79:104">
      <c r="CB106" s="63">
        <v>30</v>
      </c>
      <c r="CC106" s="63">
        <f>data!$F51</f>
        <v>44</v>
      </c>
      <c r="CD106" s="63">
        <f>data!$G51</f>
        <v>0</v>
      </c>
      <c r="CE106" s="70">
        <f t="shared" si="22"/>
        <v>4848.6151697760006</v>
      </c>
      <c r="CF106" s="71">
        <f t="shared" si="23"/>
        <v>1</v>
      </c>
      <c r="CG106" s="71">
        <f t="shared" si="24"/>
        <v>1</v>
      </c>
      <c r="CH106" s="72">
        <f t="shared" si="25"/>
        <v>2680.3750735417952</v>
      </c>
      <c r="CI106" s="72">
        <f t="shared" si="26"/>
        <v>1970.7126512849991</v>
      </c>
      <c r="CJ106" s="72">
        <f t="shared" si="27"/>
        <v>1970.7126512849991</v>
      </c>
      <c r="CK106" s="70">
        <f t="shared" si="28"/>
        <v>0</v>
      </c>
      <c r="CL106" s="72">
        <f t="shared" si="29"/>
        <v>1064.8728000000001</v>
      </c>
      <c r="CM106" s="72">
        <f t="shared" si="30"/>
        <v>602.15000000000009</v>
      </c>
      <c r="CN106" s="72">
        <f t="shared" si="31"/>
        <v>602.15000000000009</v>
      </c>
      <c r="CO106" s="45">
        <f t="shared" si="32"/>
        <v>2.5170847387047495</v>
      </c>
      <c r="CP106" s="45">
        <f t="shared" si="33"/>
        <v>3.2727935751639938</v>
      </c>
      <c r="CQ106" s="45">
        <f t="shared" si="34"/>
        <v>3.2727935751639938</v>
      </c>
      <c r="CR106" s="45">
        <f t="shared" si="35"/>
        <v>0</v>
      </c>
      <c r="CS106" s="45">
        <f t="shared" si="36"/>
        <v>0</v>
      </c>
      <c r="CT106" s="45">
        <f t="shared" si="37"/>
        <v>0</v>
      </c>
      <c r="CU106" s="45">
        <f t="shared" si="38"/>
        <v>2.5170847387047495</v>
      </c>
      <c r="CV106" s="72">
        <f t="shared" si="39"/>
        <v>0</v>
      </c>
      <c r="CW106" s="72">
        <f t="shared" si="40"/>
        <v>0</v>
      </c>
      <c r="CX106" s="72">
        <f t="shared" si="41"/>
        <v>0</v>
      </c>
      <c r="CY106" s="72">
        <f t="shared" si="42"/>
        <v>1064.8728000000001</v>
      </c>
      <c r="CZ106" s="70">
        <f t="shared" si="43"/>
        <v>0</v>
      </c>
    </row>
    <row r="107" spans="79:104">
      <c r="CB107" s="63">
        <v>31</v>
      </c>
      <c r="CC107" s="63">
        <f>data!$F52</f>
        <v>45</v>
      </c>
      <c r="CD107" s="63">
        <f>data!$G52</f>
        <v>0</v>
      </c>
      <c r="CE107" s="70">
        <f t="shared" si="22"/>
        <v>5050.6408018499997</v>
      </c>
      <c r="CF107" s="71">
        <f t="shared" si="23"/>
        <v>1</v>
      </c>
      <c r="CG107" s="71">
        <f t="shared" si="24"/>
        <v>1</v>
      </c>
      <c r="CH107" s="72">
        <f t="shared" si="25"/>
        <v>2641.4851393675499</v>
      </c>
      <c r="CI107" s="72">
        <f t="shared" si="26"/>
        <v>2011.6595684733322</v>
      </c>
      <c r="CJ107" s="72">
        <f t="shared" si="27"/>
        <v>2011.6595684733322</v>
      </c>
      <c r="CK107" s="70">
        <f t="shared" si="28"/>
        <v>0</v>
      </c>
      <c r="CL107" s="72">
        <f t="shared" si="29"/>
        <v>1078.3920000000001</v>
      </c>
      <c r="CM107" s="72">
        <f t="shared" si="30"/>
        <v>626.43333333333339</v>
      </c>
      <c r="CN107" s="72">
        <f t="shared" si="31"/>
        <v>626.43333333333339</v>
      </c>
      <c r="CO107" s="45">
        <f t="shared" si="32"/>
        <v>2.4494665570289373</v>
      </c>
      <c r="CP107" s="45">
        <f t="shared" si="33"/>
        <v>3.2112907494386187</v>
      </c>
      <c r="CQ107" s="45">
        <f t="shared" si="34"/>
        <v>3.2112907494386187</v>
      </c>
      <c r="CR107" s="45">
        <f t="shared" si="35"/>
        <v>0</v>
      </c>
      <c r="CS107" s="45">
        <f t="shared" si="36"/>
        <v>0</v>
      </c>
      <c r="CT107" s="45">
        <f t="shared" si="37"/>
        <v>0</v>
      </c>
      <c r="CU107" s="45">
        <f t="shared" si="38"/>
        <v>2.4494665570289373</v>
      </c>
      <c r="CV107" s="72">
        <f t="shared" si="39"/>
        <v>0</v>
      </c>
      <c r="CW107" s="72">
        <f t="shared" si="40"/>
        <v>0</v>
      </c>
      <c r="CX107" s="72">
        <f t="shared" si="41"/>
        <v>0</v>
      </c>
      <c r="CY107" s="72">
        <f t="shared" si="42"/>
        <v>1078.3920000000001</v>
      </c>
      <c r="CZ107" s="70">
        <f t="shared" si="43"/>
        <v>0</v>
      </c>
    </row>
    <row r="108" spans="79:104">
      <c r="CB108" s="63"/>
      <c r="CC108" s="63"/>
      <c r="CD108" s="63">
        <f>SUM(CD77:CD107)</f>
        <v>2080</v>
      </c>
      <c r="CE108" s="63"/>
      <c r="CF108" s="63"/>
      <c r="CG108" s="63"/>
      <c r="CH108" s="63"/>
      <c r="CI108" s="63"/>
      <c r="CK108" s="62">
        <f>SUM(CK77:CK107)</f>
        <v>2504573.3786391607</v>
      </c>
      <c r="CL108" s="44"/>
      <c r="CM108" s="44"/>
      <c r="CN108" s="44"/>
      <c r="CO108" s="44"/>
      <c r="CP108" s="44"/>
      <c r="CQ108" s="44"/>
      <c r="CR108" s="44"/>
      <c r="CS108" s="44"/>
      <c r="CT108" s="44"/>
      <c r="CU108" s="44"/>
      <c r="CV108" s="68"/>
      <c r="CW108" s="68"/>
      <c r="CX108" s="68"/>
      <c r="CZ108" s="77">
        <f>SUM(CZ77:CZ107)</f>
        <v>395410.85945718095</v>
      </c>
    </row>
    <row r="110" spans="79:104">
      <c r="CA110" s="28" t="s">
        <v>69</v>
      </c>
      <c r="CF110" s="29" t="str">
        <f>data!$I$7</f>
        <v>International</v>
      </c>
      <c r="CQ110" s="30"/>
    </row>
    <row r="111" spans="79:104">
      <c r="CA111" s="28"/>
      <c r="CQ111" s="30"/>
    </row>
    <row r="112" spans="79:104">
      <c r="CA112" s="28"/>
      <c r="CB112" s="37" t="s">
        <v>177</v>
      </c>
      <c r="CC112" s="38">
        <f>'Variable Capacity unit'!$H$33</f>
        <v>4800</v>
      </c>
      <c r="CD112" s="39"/>
      <c r="CE112" s="40" t="s">
        <v>0</v>
      </c>
      <c r="CF112" s="41">
        <f>$CK$163/$CZ$163</f>
        <v>4.0894339591088169</v>
      </c>
      <c r="CO112" s="42"/>
      <c r="CQ112" s="43"/>
    </row>
    <row r="113" spans="79:95">
      <c r="CA113" s="28"/>
      <c r="CQ113" s="43"/>
    </row>
    <row r="114" spans="79:95" ht="15">
      <c r="CA114" s="28"/>
      <c r="CC114" s="44" t="s">
        <v>185</v>
      </c>
      <c r="CD114" s="44" t="s">
        <v>186</v>
      </c>
      <c r="CE114" s="44" t="s">
        <v>187</v>
      </c>
      <c r="CG114" s="44" t="s">
        <v>19</v>
      </c>
      <c r="CH114" s="44">
        <f>data!$I$14</f>
        <v>0.27</v>
      </c>
      <c r="CJ114" s="29" t="s">
        <v>188</v>
      </c>
    </row>
    <row r="115" spans="79:95" ht="15">
      <c r="CA115" s="28"/>
      <c r="CB115" s="51" t="s">
        <v>18</v>
      </c>
      <c r="CC115" s="52">
        <f>'Variable Capacity unit'!$H$33</f>
        <v>4800</v>
      </c>
      <c r="CD115" s="52">
        <f>IF('Variable Capacity unit'!$BD$32="Required test",$CD$120*$CH$117,IF('Variable Capacity unit'!$BD$39="Default",$CD$120*$CH$117,'Variable Capacity unit'!$H$34))</f>
        <v>2233.4</v>
      </c>
      <c r="CE115" s="52">
        <f>IF('Variable Capacity unit'!$BD$32="Required test",$CD$115,IF('Variable Capacity unit'!$BD$36="Not Measure",$CD$115,IF('Variable Capacity unit'!$BD$40="Default",$CE$120*$CH$117,'Variable Capacity unit'!$H$35)))</f>
        <v>2233.4</v>
      </c>
      <c r="CG115" s="40" t="s">
        <v>189</v>
      </c>
      <c r="CH115" s="44">
        <f>data!$I$15</f>
        <v>1.077</v>
      </c>
      <c r="CJ115" s="44" t="s">
        <v>137</v>
      </c>
      <c r="CK115" s="45">
        <f>(6*$CC$112*$CH$119+6*$CC$120*($CH$120-$CH$119)+35*($CC$125-$CC$120)*($CH$120-$CH$119))/(6*$CC$112+($CC$125-$CC$120)*($CH$120-$CH$119))</f>
        <v>45.700560146693128</v>
      </c>
      <c r="CM115" s="44" t="s">
        <v>138</v>
      </c>
      <c r="CN115" s="45">
        <f>($CE$120+($CE$125-$CE$120)/(35-29)*(35-$CH$119))/($CE$121+($CE$126-$CE$121)/(35-29)*(35-$CH$119))</f>
        <v>6.5828025477707008</v>
      </c>
    </row>
    <row r="116" spans="79:95" ht="15">
      <c r="CA116" s="28"/>
      <c r="CB116" s="51" t="s">
        <v>83</v>
      </c>
      <c r="CC116" s="52">
        <f>'Variable Capacity unit'!$L$33</f>
        <v>1850</v>
      </c>
      <c r="CD116" s="52">
        <f>IF('Variable Capacity unit'!$BD$32="Required test",$CD$121*$CH$118,IF('Variable Capacity unit'!$BD$39="Default",$CD$121*$CH$118,'Variable Capacity unit'!$L$34))</f>
        <v>750</v>
      </c>
      <c r="CE116" s="52">
        <f>IF('Variable Capacity unit'!$BD$32="Required test",$CD$116,IF('Variable Capacity unit'!$BD$36="Not Measure",$CD$116,IF('Variable Capacity unit'!$BD$40="Default",$CE$121*$CH$118,'Variable Capacity unit'!$L$35)))</f>
        <v>750</v>
      </c>
      <c r="CG116" s="40" t="s">
        <v>190</v>
      </c>
      <c r="CH116" s="44">
        <f>data!$I$16</f>
        <v>0.91400000000000003</v>
      </c>
      <c r="CJ116" s="44" t="s">
        <v>140</v>
      </c>
      <c r="CK116" s="45">
        <f>((35-29)*$CC$112*$CH$119+(35-29)*$CD$120*($CH$120-$CH$119)+35*($CD$125-$CD$120)*($CH$120-$CH$119))/((35-29)*$CC$112+($CD$125-$CD$120)*($CH$120-$CH$119))</f>
        <v>34.223648147930312</v>
      </c>
      <c r="CM116" s="44" t="s">
        <v>141</v>
      </c>
      <c r="CN116" s="45">
        <f>($CC$120+($CC$125-$CC$120)/(35-29)*(35-$CK$115))/($CC$121+($CC$126-$CC$121)/(35-29)*(35-$CK$115))</f>
        <v>2.7064279598314118</v>
      </c>
    </row>
    <row r="117" spans="79:95" ht="15">
      <c r="CA117" s="28"/>
      <c r="CB117" s="44" t="s">
        <v>152</v>
      </c>
      <c r="CC117" s="61">
        <f>$CC$115/$CC$116</f>
        <v>2.5945945945945947</v>
      </c>
      <c r="CD117" s="61">
        <f>$CD$115/$CD$116</f>
        <v>2.9778666666666669</v>
      </c>
      <c r="CE117" s="61">
        <f>$CE$115/$CE$116</f>
        <v>2.9778666666666669</v>
      </c>
      <c r="CG117" s="40" t="s">
        <v>191</v>
      </c>
      <c r="CH117" s="44">
        <f>data!$I$17</f>
        <v>0.85899999999999999</v>
      </c>
      <c r="CJ117" s="44" t="s">
        <v>143</v>
      </c>
      <c r="CK117" s="45">
        <f>((35-29)*$CC$112*$CH$119+(35-29)*$CE$120*($CH$120-$CH$119)+35*($CE$125-$CE$120)*($CH$120-$CH$119))/((35-29)*$CC$112+($CE$125-$CE$120)*($CH$120-$CH$119))</f>
        <v>34.223648147930312</v>
      </c>
      <c r="CM117" s="44" t="s">
        <v>144</v>
      </c>
      <c r="CN117" s="45">
        <f>($CD$120+($CD$125-$CD$120)/(35-29)*(35-$CK$116))/($CD$121+($CD$126-$CD$121)/(35-29)*(35-$CK$116))</f>
        <v>4.4257556472813357</v>
      </c>
    </row>
    <row r="118" spans="79:95">
      <c r="CA118" s="28"/>
      <c r="CB118" s="44"/>
      <c r="CG118" s="40" t="s">
        <v>192</v>
      </c>
      <c r="CH118" s="44">
        <f>data!$I$18</f>
        <v>1.25</v>
      </c>
      <c r="CJ118" s="44"/>
      <c r="CK118" s="62"/>
      <c r="CL118" s="62"/>
      <c r="CM118" s="44" t="s">
        <v>147</v>
      </c>
      <c r="CN118" s="45">
        <f>($CE$120+($CE$125-$CE$120)/(35-29)*(35-$CK$117))/($CE$121+($CE$126-$CE$121)/(35-29)*(35-$CK$117))</f>
        <v>4.4257556472813357</v>
      </c>
      <c r="CQ118" s="44"/>
    </row>
    <row r="119" spans="79:95" ht="15">
      <c r="CA119" s="28"/>
      <c r="CB119" s="44"/>
      <c r="CC119" s="44" t="s">
        <v>134</v>
      </c>
      <c r="CD119" s="44" t="s">
        <v>135</v>
      </c>
      <c r="CE119" s="44" t="s">
        <v>136</v>
      </c>
      <c r="CG119" s="44" t="s">
        <v>146</v>
      </c>
      <c r="CH119" s="44">
        <f>data!$I$11</f>
        <v>20</v>
      </c>
    </row>
    <row r="120" spans="79:95" ht="15">
      <c r="CA120" s="28"/>
      <c r="CB120" s="51" t="s">
        <v>18</v>
      </c>
      <c r="CC120" s="52">
        <f>'Variable Capacity unit'!$H$39</f>
        <v>5500</v>
      </c>
      <c r="CD120" s="52">
        <f>'Variable Capacity unit'!$H$40</f>
        <v>2600</v>
      </c>
      <c r="CE120" s="52">
        <f>IF('Variable Capacity unit'!$BD$32="Required test",$CD$120,IF('Variable Capacity unit'!$BD$36="Not Measure",$CD$120,IF('Variable Capacity unit'!$BD$43="Default",$CD$120,'Variable Capacity unit'!$H$41)))</f>
        <v>2600</v>
      </c>
      <c r="CG120" s="44" t="s">
        <v>148</v>
      </c>
      <c r="CH120" s="44">
        <f>data!$I$12</f>
        <v>46</v>
      </c>
      <c r="CJ120" s="44"/>
      <c r="CQ120" s="44"/>
    </row>
    <row r="121" spans="79:95">
      <c r="CA121" s="28"/>
      <c r="CB121" s="51" t="s">
        <v>83</v>
      </c>
      <c r="CC121" s="52">
        <f>'Variable Capacity unit'!$L$39</f>
        <v>1520</v>
      </c>
      <c r="CD121" s="52">
        <f>'Variable Capacity unit'!$L$40</f>
        <v>600</v>
      </c>
      <c r="CE121" s="52">
        <f>IF('Variable Capacity unit'!$BD$32="Required test",$CD$121,IF('Variable Capacity unit'!$BD$36="Not Measure",$CD$121,IF('Variable Capacity unit'!$BD$43="Default",$CD$121,'Variable Capacity unit'!$L$41)))</f>
        <v>600</v>
      </c>
      <c r="CJ121" s="29" t="s">
        <v>193</v>
      </c>
    </row>
    <row r="122" spans="79:95" ht="15">
      <c r="CA122" s="28"/>
      <c r="CB122" s="44" t="s">
        <v>152</v>
      </c>
      <c r="CC122" s="61">
        <f>$CC$120/$CC$121</f>
        <v>3.6184210526315788</v>
      </c>
      <c r="CD122" s="61">
        <f>$CD$120/$CD$121</f>
        <v>4.333333333333333</v>
      </c>
      <c r="CE122" s="61">
        <f>$CE$120/$CE$121</f>
        <v>4.333333333333333</v>
      </c>
      <c r="CJ122" s="44" t="s">
        <v>137</v>
      </c>
      <c r="CK122" s="45">
        <f>(11*$CC$112*$CH$119+11*$CC$115*($CH$120-$CH$119)+46*($CC$120-$CC$115)*($CH$120-$CH$119))/(11*$CC$112+($CC$120-$CC$115)*($CH$120-$CH$119))</f>
        <v>46</v>
      </c>
      <c r="CM122" s="44" t="s">
        <v>141</v>
      </c>
      <c r="CN122" s="45">
        <f>($CC$115+($CC$120-$CC$115)/(46-35)*(46-$CK$122))/($CC$116+($CC$121-$CC$116)/(46-35)*(46-$CK$122))</f>
        <v>2.5945945945945947</v>
      </c>
    </row>
    <row r="123" spans="79:95" ht="15">
      <c r="CA123" s="28"/>
      <c r="CB123" s="44"/>
      <c r="CC123" s="44"/>
      <c r="CD123" s="44"/>
      <c r="CE123" s="63"/>
      <c r="CJ123" s="44" t="s">
        <v>140</v>
      </c>
      <c r="CK123" s="45">
        <f>((46-35)*$CC$112*$CH$119+(46-35)*$CD$115*($CH$120-$CH$119)+46*($CD$120-$CD$115)*($CH$120-$CH$119))/((46-35)*$CC$112+($CD$120-$CD$115)*($CH$120-$CH$119))</f>
        <v>34.223507819468779</v>
      </c>
      <c r="CM123" s="44" t="s">
        <v>144</v>
      </c>
      <c r="CN123" s="45">
        <f>($CD$115+($CD$120-$CD$115)/(46-35)*(46-$CK$123))/($CD$116+($CD$121-$CD$116)/(46-35)*(46-$CK$123))</f>
        <v>4.4550852827624947</v>
      </c>
    </row>
    <row r="124" spans="79:95" ht="15">
      <c r="CA124" s="28"/>
      <c r="CB124" s="44"/>
      <c r="CC124" s="44" t="s">
        <v>149</v>
      </c>
      <c r="CD124" s="44" t="s">
        <v>150</v>
      </c>
      <c r="CE124" s="44" t="s">
        <v>151</v>
      </c>
      <c r="CJ124" s="44" t="s">
        <v>143</v>
      </c>
      <c r="CK124" s="45">
        <f>((46-35)*$CC$112*$CH$119+(46-35)*$CE$115*($CH$120-$CH$119)+46*($CE$120-$CE$115)*($CH$120-$CH$119))/((46-35)*$CC$112+($CE$120-$CE$115)*($CH$120-$CH$119))</f>
        <v>34.223507819468779</v>
      </c>
      <c r="CM124" s="44" t="s">
        <v>147</v>
      </c>
      <c r="CN124" s="45">
        <f>($CE$115+($CE$120-$CE$115)/(46-35)*(46-$CK$124))/($CE$116+($CE$121-$CE$116)/(46-35)*(46-$CK$124))</f>
        <v>4.4550852827624947</v>
      </c>
    </row>
    <row r="125" spans="79:95">
      <c r="CA125" s="28"/>
      <c r="CB125" s="51" t="s">
        <v>18</v>
      </c>
      <c r="CC125" s="52">
        <f>$CC$120*$CH$115</f>
        <v>5923.5</v>
      </c>
      <c r="CD125" s="52">
        <f>IF('Variable Capacity unit'!$BD$32="Required test",$CD$120*$CH$115,IF('Variable Capacity unit'!$BD$45="Default",$CD$120*$CH$115,'Variable Capacity unit'!$H$46))</f>
        <v>2800.2</v>
      </c>
      <c r="CE125" s="52">
        <f>IF('Variable Capacity unit'!$BD$32="Required test",$CD$125,IF('Variable Capacity unit'!$BD$36="Not Measure",$CD$125,IF('Variable Capacity unit'!$BD$46="Default",$CE$120*$CH$115,'Variable Capacity unit'!$H$47)))</f>
        <v>2800.2</v>
      </c>
    </row>
    <row r="126" spans="79:95">
      <c r="CA126" s="28"/>
      <c r="CB126" s="51" t="s">
        <v>83</v>
      </c>
      <c r="CC126" s="52">
        <f>$CC$121*$CH$116</f>
        <v>1389.28</v>
      </c>
      <c r="CD126" s="52">
        <f>IF('Variable Capacity unit'!$BD$32="Required test",$CD$121*$CH$116,IF('Variable Capacity unit'!$BD$45="Default",$CD$121*$CH$116,'Variable Capacity unit'!$L$46))</f>
        <v>548.4</v>
      </c>
      <c r="CE126" s="52">
        <f>IF('Variable Capacity unit'!$BD$32="Required test",$CD$126,IF('Variable Capacity unit'!$BD$36="Not Measure",$CD$126,IF('Variable Capacity unit'!$BD$46="Default",$CE$121*$CH$116,'Variable Capacity unit'!$L$47)))</f>
        <v>548.4</v>
      </c>
    </row>
    <row r="127" spans="79:95">
      <c r="CA127" s="28"/>
      <c r="CB127" s="44" t="s">
        <v>152</v>
      </c>
      <c r="CC127" s="61">
        <f>$CC$125/$CC$126</f>
        <v>4.2637193366348036</v>
      </c>
      <c r="CD127" s="61">
        <f>$CD$125/$CD$126</f>
        <v>5.1061269146608312</v>
      </c>
      <c r="CE127" s="61">
        <f>$CE$125/$CE$126</f>
        <v>5.1061269146608312</v>
      </c>
    </row>
    <row r="128" spans="79:95">
      <c r="CA128" s="28"/>
    </row>
    <row r="129" spans="79:104">
      <c r="CA129" s="28"/>
      <c r="CB129" s="97" t="s">
        <v>5</v>
      </c>
      <c r="CC129" s="98" t="s">
        <v>7</v>
      </c>
      <c r="CD129" s="97" t="s">
        <v>8</v>
      </c>
      <c r="CE129" s="66" t="s">
        <v>9</v>
      </c>
      <c r="CF129" s="66" t="s">
        <v>10</v>
      </c>
      <c r="CG129" s="66" t="s">
        <v>20</v>
      </c>
      <c r="CH129" s="99" t="s">
        <v>11</v>
      </c>
      <c r="CI129" s="99"/>
      <c r="CJ129" s="99"/>
      <c r="CK129" s="67" t="s">
        <v>2</v>
      </c>
      <c r="CL129" s="99" t="s">
        <v>13</v>
      </c>
      <c r="CM129" s="99"/>
      <c r="CN129" s="99"/>
      <c r="CO129" s="99" t="s">
        <v>16</v>
      </c>
      <c r="CP129" s="99"/>
      <c r="CQ129" s="99"/>
      <c r="CR129" s="99" t="s">
        <v>40</v>
      </c>
      <c r="CS129" s="99"/>
      <c r="CT129" s="99"/>
      <c r="CU129" s="99"/>
      <c r="CV129" s="99" t="s">
        <v>17</v>
      </c>
      <c r="CW129" s="99"/>
      <c r="CX129" s="99"/>
      <c r="CY129" s="99"/>
      <c r="CZ129" s="67" t="s">
        <v>3</v>
      </c>
    </row>
    <row r="130" spans="79:104">
      <c r="CB130" s="97"/>
      <c r="CC130" s="98"/>
      <c r="CD130" s="97"/>
      <c r="CE130" s="67" t="s">
        <v>153</v>
      </c>
      <c r="CF130" s="96" t="s">
        <v>154</v>
      </c>
      <c r="CG130" s="96" t="s">
        <v>194</v>
      </c>
      <c r="CH130" s="68" t="s">
        <v>4</v>
      </c>
      <c r="CI130" s="68" t="s">
        <v>14</v>
      </c>
      <c r="CJ130" s="68" t="s">
        <v>12</v>
      </c>
      <c r="CK130" s="96" t="s">
        <v>195</v>
      </c>
      <c r="CL130" s="68" t="s">
        <v>4</v>
      </c>
      <c r="CM130" s="68" t="s">
        <v>14</v>
      </c>
      <c r="CN130" s="68" t="s">
        <v>12</v>
      </c>
      <c r="CO130" s="68" t="s">
        <v>4</v>
      </c>
      <c r="CP130" s="68" t="s">
        <v>14</v>
      </c>
      <c r="CQ130" s="68" t="s">
        <v>12</v>
      </c>
      <c r="CR130" s="68" t="s">
        <v>156</v>
      </c>
      <c r="CS130" s="68" t="s">
        <v>157</v>
      </c>
      <c r="CT130" s="68" t="s">
        <v>196</v>
      </c>
      <c r="CU130" s="68" t="s">
        <v>84</v>
      </c>
      <c r="CV130" s="68" t="s">
        <v>156</v>
      </c>
      <c r="CW130" s="68" t="s">
        <v>157</v>
      </c>
      <c r="CX130" s="68" t="s">
        <v>158</v>
      </c>
      <c r="CY130" s="68" t="s">
        <v>84</v>
      </c>
      <c r="CZ130" s="96" t="s">
        <v>197</v>
      </c>
    </row>
    <row r="131" spans="79:104" ht="15">
      <c r="CB131" s="63" t="s">
        <v>6</v>
      </c>
      <c r="CC131" s="63" t="s">
        <v>159</v>
      </c>
      <c r="CD131" s="63" t="s">
        <v>160</v>
      </c>
      <c r="CE131" s="68" t="s">
        <v>15</v>
      </c>
      <c r="CF131" s="99"/>
      <c r="CG131" s="99"/>
      <c r="CH131" s="67" t="s">
        <v>161</v>
      </c>
      <c r="CI131" s="67" t="s">
        <v>162</v>
      </c>
      <c r="CJ131" s="67" t="s">
        <v>163</v>
      </c>
      <c r="CK131" s="96"/>
      <c r="CL131" s="68" t="s">
        <v>164</v>
      </c>
      <c r="CM131" s="68" t="s">
        <v>165</v>
      </c>
      <c r="CN131" s="68" t="s">
        <v>198</v>
      </c>
      <c r="CO131" s="67" t="s">
        <v>167</v>
      </c>
      <c r="CP131" s="67" t="s">
        <v>168</v>
      </c>
      <c r="CQ131" s="67" t="s">
        <v>169</v>
      </c>
      <c r="CR131" s="67" t="s">
        <v>169</v>
      </c>
      <c r="CS131" s="67" t="s">
        <v>171</v>
      </c>
      <c r="CT131" s="67" t="s">
        <v>172</v>
      </c>
      <c r="CU131" s="67" t="s">
        <v>167</v>
      </c>
      <c r="CV131" s="67" t="s">
        <v>173</v>
      </c>
      <c r="CW131" s="67" t="s">
        <v>174</v>
      </c>
      <c r="CX131" s="67" t="s">
        <v>175</v>
      </c>
      <c r="CY131" s="67" t="s">
        <v>176</v>
      </c>
      <c r="CZ131" s="96"/>
    </row>
    <row r="132" spans="79:104">
      <c r="CB132" s="63">
        <v>1</v>
      </c>
      <c r="CC132" s="63">
        <f>data!$I22</f>
        <v>20</v>
      </c>
      <c r="CD132" s="63">
        <f>data!$J22</f>
        <v>0</v>
      </c>
      <c r="CE132" s="70">
        <f t="shared" ref="CE132:CE162" si="44">$CC$112*($CC132-$CH$119)/($CH$120-$CH$119)</f>
        <v>0</v>
      </c>
      <c r="CF132" s="71">
        <f t="shared" ref="CF132:CF162" si="45">1-$CH$114*(1-$CG132)</f>
        <v>0.73</v>
      </c>
      <c r="CG132" s="71">
        <f t="shared" ref="CG132:CG162" si="46">IF($CE132&lt;$CJ132,$CE132/$CJ132,1)</f>
        <v>0</v>
      </c>
      <c r="CH132" s="72">
        <f t="shared" ref="CH132:CH162" si="47">IF($CC132&lt;=35,$CC$120+($CC$125-$CC$120)/(35-29)*(35-$CC132),$CC$115+($CC$120-$CC$115)/(46-35)*(46-$CC132))</f>
        <v>6558.75</v>
      </c>
      <c r="CI132" s="72">
        <f t="shared" ref="CI132:CI162" si="48">IF($CC132&lt;=35,$CD$120+($CD$125-$CD$120)/(35-29)*(35-$CC132),$CD$115+($CD$120-$CD$115)/(46-35)*(46-$CC132))</f>
        <v>3100.4999999999995</v>
      </c>
      <c r="CJ132" s="72">
        <f t="shared" ref="CJ132:CJ162" si="49">IF($CC132&lt;=35,$CE$120+($CE$125-$CE$120)/(35-29)*(35-$CC132),$CE$115+($CE$120-$CE$115)/(46-35)*(46-$CC132))</f>
        <v>3100.4999999999995</v>
      </c>
      <c r="CK132" s="70">
        <f t="shared" ref="CK132:CK162" si="50">IF($CE132&lt;$CH132,$CE132*$CD132,$CH132*$CD132)</f>
        <v>0</v>
      </c>
      <c r="CL132" s="72">
        <f t="shared" ref="CL132:CL162" si="51">IF($CC132&lt;=35,$CC$121+($CC$126-$CC$121)/(35-29)*(35-$CC132),$CC$116+($CC$121-$CC$116)/(46-35)*(46-$CC132))</f>
        <v>1193.1999999999998</v>
      </c>
      <c r="CM132" s="72">
        <f t="shared" ref="CM132:CM162" si="52">IF($CC132&lt;=35,$CD$121+($CD$126-$CD$121)/(35-29)*(35-$CC132),$CD$116+($CD$121-$CD$116)/(46-35)*(46-$CC132))</f>
        <v>470.99999999999994</v>
      </c>
      <c r="CN132" s="72">
        <f t="shared" ref="CN132:CN162" si="53">IF($CC132&lt;=35,$CE$121+(($CE$126-$CE$121)/(35-29)*(35-$CC132)),($CE$116+($CE$121-$CE$116)/(46-35)*(46-$CC132)))</f>
        <v>470.99999999999994</v>
      </c>
      <c r="CO132" s="45">
        <f t="shared" ref="CO132:CO162" si="54">$CH132/$CL132</f>
        <v>5.4967733825008391</v>
      </c>
      <c r="CP132" s="45">
        <f t="shared" ref="CP132:CP162" si="55">$CI132/$CM132</f>
        <v>6.5828025477707008</v>
      </c>
      <c r="CQ132" s="45">
        <f t="shared" ref="CQ132:CQ162" si="56">$CJ132/$CN132</f>
        <v>6.5828025477707008</v>
      </c>
      <c r="CR132" s="45">
        <f t="shared" ref="CR132:CR162" si="57">IF($CJ132&gt;$CE132,$CJ132/$CN132,0)</f>
        <v>6.5828025477707008</v>
      </c>
      <c r="CS132" s="45">
        <f t="shared" ref="CS132:CS162" si="58">IF(AND($CJ132&lt;$CE132,$CE132&lt;=$CI132),IF($CC132&lt;=35,$CN$118+($CN$117-$CN$118)/($CK$116-$CK$117)*($CC132-$CK$117),$CN$124+($CN$123-$CN$124)/($CK$123-$CK$124)*($CC132-$CK$124)),0)</f>
        <v>0</v>
      </c>
      <c r="CT132" s="45">
        <f t="shared" ref="CT132:CT162" si="59">IF(AND($CI132&lt;$CE132,$CE132&lt;=$CH132),IF($CC132&lt;=35,$CN$117+($CN$116-$CN$117)/($CK$115-$CK$116)*($CC132-$CK$116),$CN$123+($CN$122-$CN$123)/($CK$122-$CK$123)*($CC132-$CK$123)),0)</f>
        <v>0</v>
      </c>
      <c r="CU132" s="45">
        <f t="shared" ref="CU132:CU162" si="60">IF($CE132&gt;$CH132,$CH132/$CL132,0)</f>
        <v>0</v>
      </c>
      <c r="CV132" s="72">
        <f t="shared" ref="CV132:CV162" si="61">IF($CJ132&gt;=$CE132,$CN132,0)</f>
        <v>470.99999999999994</v>
      </c>
      <c r="CW132" s="72">
        <f t="shared" ref="CW132:CW162" si="62">IF($CS132&gt;0,$CE132/$CS132,0)</f>
        <v>0</v>
      </c>
      <c r="CX132" s="72">
        <f t="shared" ref="CX132:CX162" si="63">IF($CT132&gt;0,$CE132/$CT132,0)</f>
        <v>0</v>
      </c>
      <c r="CY132" s="72">
        <f t="shared" ref="CY132:CY162" si="64">IF($CU132&gt;0,$CH132/$CU132,0)</f>
        <v>0</v>
      </c>
      <c r="CZ132" s="70">
        <f t="shared" ref="CZ132:CZ162" si="65">IF($CF132=0,0,$CG132*$CV132*$CD132/$CF132+$CW132*$CD132+$CX132*$CD132+$CY132*$CD132)</f>
        <v>0</v>
      </c>
    </row>
    <row r="133" spans="79:104">
      <c r="CB133" s="63">
        <v>2</v>
      </c>
      <c r="CC133" s="63">
        <f>data!$I23</f>
        <v>21</v>
      </c>
      <c r="CD133" s="63">
        <f>data!$J23</f>
        <v>307</v>
      </c>
      <c r="CE133" s="70">
        <f t="shared" si="44"/>
        <v>184.61538461538461</v>
      </c>
      <c r="CF133" s="71">
        <f t="shared" si="45"/>
        <v>0.74625170751608039</v>
      </c>
      <c r="CG133" s="71">
        <f t="shared" si="46"/>
        <v>6.019150931881604E-2</v>
      </c>
      <c r="CH133" s="72">
        <f t="shared" si="47"/>
        <v>6488.166666666667</v>
      </c>
      <c r="CI133" s="72">
        <f t="shared" si="48"/>
        <v>3067.1333333333328</v>
      </c>
      <c r="CJ133" s="72">
        <f t="shared" si="49"/>
        <v>3067.1333333333328</v>
      </c>
      <c r="CK133" s="70">
        <f t="shared" si="50"/>
        <v>56676.923076923078</v>
      </c>
      <c r="CL133" s="72">
        <f t="shared" si="51"/>
        <v>1214.9866666666667</v>
      </c>
      <c r="CM133" s="72">
        <f t="shared" si="52"/>
        <v>479.59999999999997</v>
      </c>
      <c r="CN133" s="72">
        <f t="shared" si="53"/>
        <v>479.59999999999997</v>
      </c>
      <c r="CO133" s="45">
        <f t="shared" si="54"/>
        <v>5.340113471752777</v>
      </c>
      <c r="CP133" s="45">
        <f t="shared" si="55"/>
        <v>6.3951904364748398</v>
      </c>
      <c r="CQ133" s="45">
        <f t="shared" si="56"/>
        <v>6.3951904364748398</v>
      </c>
      <c r="CR133" s="45">
        <f t="shared" si="57"/>
        <v>6.3951904364748398</v>
      </c>
      <c r="CS133" s="45">
        <f t="shared" si="58"/>
        <v>0</v>
      </c>
      <c r="CT133" s="45">
        <f t="shared" si="59"/>
        <v>0</v>
      </c>
      <c r="CU133" s="45">
        <f t="shared" si="60"/>
        <v>0</v>
      </c>
      <c r="CV133" s="72">
        <f t="shared" si="61"/>
        <v>479.59999999999997</v>
      </c>
      <c r="CW133" s="72">
        <f t="shared" si="62"/>
        <v>0</v>
      </c>
      <c r="CX133" s="72">
        <f t="shared" si="63"/>
        <v>0</v>
      </c>
      <c r="CY133" s="72">
        <f t="shared" si="64"/>
        <v>0</v>
      </c>
      <c r="CZ133" s="70">
        <f t="shared" si="65"/>
        <v>11875.924981632837</v>
      </c>
    </row>
    <row r="134" spans="79:104">
      <c r="CB134" s="63">
        <v>3</v>
      </c>
      <c r="CC134" s="63">
        <f>data!$I24</f>
        <v>22</v>
      </c>
      <c r="CD134" s="63">
        <f>data!$J24</f>
        <v>311</v>
      </c>
      <c r="CE134" s="70">
        <f t="shared" si="44"/>
        <v>369.23076923076923</v>
      </c>
      <c r="CF134" s="71">
        <f t="shared" si="45"/>
        <v>0.762860901528015</v>
      </c>
      <c r="CG134" s="71">
        <f t="shared" si="46"/>
        <v>0.12170704269635192</v>
      </c>
      <c r="CH134" s="72">
        <f t="shared" si="47"/>
        <v>6417.583333333333</v>
      </c>
      <c r="CI134" s="72">
        <f t="shared" si="48"/>
        <v>3033.7666666666664</v>
      </c>
      <c r="CJ134" s="72">
        <f t="shared" si="49"/>
        <v>3033.7666666666664</v>
      </c>
      <c r="CK134" s="70">
        <f t="shared" si="50"/>
        <v>114830.76923076923</v>
      </c>
      <c r="CL134" s="72">
        <f t="shared" si="51"/>
        <v>1236.7733333333333</v>
      </c>
      <c r="CM134" s="72">
        <f t="shared" si="52"/>
        <v>488.19999999999993</v>
      </c>
      <c r="CN134" s="72">
        <f t="shared" si="53"/>
        <v>488.19999999999993</v>
      </c>
      <c r="CO134" s="45">
        <f t="shared" si="54"/>
        <v>5.1889729187778952</v>
      </c>
      <c r="CP134" s="45">
        <f t="shared" si="55"/>
        <v>6.2141881742455283</v>
      </c>
      <c r="CQ134" s="45">
        <f t="shared" si="56"/>
        <v>6.2141881742455283</v>
      </c>
      <c r="CR134" s="45">
        <f t="shared" si="57"/>
        <v>6.2141881742455283</v>
      </c>
      <c r="CS134" s="45">
        <f t="shared" si="58"/>
        <v>0</v>
      </c>
      <c r="CT134" s="45">
        <f t="shared" si="59"/>
        <v>0</v>
      </c>
      <c r="CU134" s="45">
        <f t="shared" si="60"/>
        <v>0</v>
      </c>
      <c r="CV134" s="72">
        <f t="shared" si="61"/>
        <v>488.19999999999993</v>
      </c>
      <c r="CW134" s="72">
        <f t="shared" si="62"/>
        <v>0</v>
      </c>
      <c r="CX134" s="72">
        <f t="shared" si="63"/>
        <v>0</v>
      </c>
      <c r="CY134" s="72">
        <f t="shared" si="64"/>
        <v>0</v>
      </c>
      <c r="CZ134" s="70">
        <f t="shared" si="65"/>
        <v>24223.032792718164</v>
      </c>
    </row>
    <row r="135" spans="79:104">
      <c r="CB135" s="63">
        <v>4</v>
      </c>
      <c r="CC135" s="63">
        <f>data!$I25</f>
        <v>23</v>
      </c>
      <c r="CD135" s="63">
        <f>data!$J25</f>
        <v>317</v>
      </c>
      <c r="CE135" s="70">
        <f t="shared" si="44"/>
        <v>553.84615384615381</v>
      </c>
      <c r="CF135" s="71">
        <f t="shared" si="45"/>
        <v>0.77983950857834339</v>
      </c>
      <c r="CG135" s="71">
        <f t="shared" si="46"/>
        <v>0.18459077251238298</v>
      </c>
      <c r="CH135" s="72">
        <f t="shared" si="47"/>
        <v>6347</v>
      </c>
      <c r="CI135" s="72">
        <f t="shared" si="48"/>
        <v>3000.3999999999996</v>
      </c>
      <c r="CJ135" s="72">
        <f t="shared" si="49"/>
        <v>3000.3999999999996</v>
      </c>
      <c r="CK135" s="70">
        <f t="shared" si="50"/>
        <v>175569.23076923075</v>
      </c>
      <c r="CL135" s="72">
        <f t="shared" si="51"/>
        <v>1258.56</v>
      </c>
      <c r="CM135" s="72">
        <f t="shared" si="52"/>
        <v>496.79999999999995</v>
      </c>
      <c r="CN135" s="72">
        <f t="shared" si="53"/>
        <v>496.79999999999995</v>
      </c>
      <c r="CO135" s="45">
        <f t="shared" si="54"/>
        <v>5.0430650902618872</v>
      </c>
      <c r="CP135" s="45">
        <f t="shared" si="55"/>
        <v>6.0394524959742348</v>
      </c>
      <c r="CQ135" s="45">
        <f t="shared" si="56"/>
        <v>6.0394524959742348</v>
      </c>
      <c r="CR135" s="45">
        <f t="shared" si="57"/>
        <v>6.0394524959742348</v>
      </c>
      <c r="CS135" s="45">
        <f t="shared" si="58"/>
        <v>0</v>
      </c>
      <c r="CT135" s="45">
        <f t="shared" si="59"/>
        <v>0</v>
      </c>
      <c r="CU135" s="45">
        <f t="shared" si="60"/>
        <v>0</v>
      </c>
      <c r="CV135" s="72">
        <f t="shared" si="61"/>
        <v>496.79999999999995</v>
      </c>
      <c r="CW135" s="72">
        <f t="shared" si="62"/>
        <v>0</v>
      </c>
      <c r="CX135" s="72">
        <f t="shared" si="63"/>
        <v>0</v>
      </c>
      <c r="CY135" s="72">
        <f t="shared" si="64"/>
        <v>0</v>
      </c>
      <c r="CZ135" s="70">
        <f t="shared" si="65"/>
        <v>37277.399059419033</v>
      </c>
    </row>
    <row r="136" spans="79:104">
      <c r="CB136" s="63">
        <v>5</v>
      </c>
      <c r="CC136" s="63">
        <f>data!$I26</f>
        <v>24</v>
      </c>
      <c r="CD136" s="63">
        <f>data!$J26</f>
        <v>325</v>
      </c>
      <c r="CE136" s="70">
        <f t="shared" si="44"/>
        <v>738.46153846153845</v>
      </c>
      <c r="CF136" s="71">
        <f t="shared" si="45"/>
        <v>0.7971999917037047</v>
      </c>
      <c r="CG136" s="71">
        <f t="shared" si="46"/>
        <v>0.2488888581618694</v>
      </c>
      <c r="CH136" s="72">
        <f t="shared" si="47"/>
        <v>6276.416666666667</v>
      </c>
      <c r="CI136" s="72">
        <f t="shared" si="48"/>
        <v>2967.0333333333328</v>
      </c>
      <c r="CJ136" s="72">
        <f t="shared" si="49"/>
        <v>2967.0333333333328</v>
      </c>
      <c r="CK136" s="70">
        <f t="shared" si="50"/>
        <v>240000</v>
      </c>
      <c r="CL136" s="72">
        <f t="shared" si="51"/>
        <v>1280.3466666666666</v>
      </c>
      <c r="CM136" s="72">
        <f t="shared" si="52"/>
        <v>505.4</v>
      </c>
      <c r="CN136" s="72">
        <f t="shared" si="53"/>
        <v>505.4</v>
      </c>
      <c r="CO136" s="45">
        <f t="shared" si="54"/>
        <v>4.9021228625580582</v>
      </c>
      <c r="CP136" s="45">
        <f t="shared" si="55"/>
        <v>5.8706635008574057</v>
      </c>
      <c r="CQ136" s="45">
        <f t="shared" si="56"/>
        <v>5.8706635008574057</v>
      </c>
      <c r="CR136" s="45">
        <f t="shared" si="57"/>
        <v>5.8706635008574057</v>
      </c>
      <c r="CS136" s="45">
        <f t="shared" si="58"/>
        <v>0</v>
      </c>
      <c r="CT136" s="45">
        <f t="shared" si="59"/>
        <v>0</v>
      </c>
      <c r="CU136" s="45">
        <f t="shared" si="60"/>
        <v>0</v>
      </c>
      <c r="CV136" s="72">
        <f t="shared" si="61"/>
        <v>505.4</v>
      </c>
      <c r="CW136" s="72">
        <f t="shared" si="62"/>
        <v>0</v>
      </c>
      <c r="CX136" s="72">
        <f t="shared" si="63"/>
        <v>0</v>
      </c>
      <c r="CY136" s="72">
        <f t="shared" si="64"/>
        <v>0</v>
      </c>
      <c r="CZ136" s="70">
        <f t="shared" si="65"/>
        <v>51281.033395409504</v>
      </c>
    </row>
    <row r="137" spans="79:104">
      <c r="CB137" s="63">
        <v>6</v>
      </c>
      <c r="CC137" s="63">
        <f>data!$I27</f>
        <v>25</v>
      </c>
      <c r="CD137" s="63">
        <f>data!$J27</f>
        <v>334</v>
      </c>
      <c r="CE137" s="70">
        <f t="shared" si="44"/>
        <v>923.07692307692309</v>
      </c>
      <c r="CF137" s="71">
        <f t="shared" si="45"/>
        <v>0.81495538094447306</v>
      </c>
      <c r="CG137" s="71">
        <f t="shared" si="46"/>
        <v>0.31464955905360409</v>
      </c>
      <c r="CH137" s="72">
        <f t="shared" si="47"/>
        <v>6205.833333333333</v>
      </c>
      <c r="CI137" s="72">
        <f t="shared" si="48"/>
        <v>2933.6666666666665</v>
      </c>
      <c r="CJ137" s="72">
        <f t="shared" si="49"/>
        <v>2933.6666666666665</v>
      </c>
      <c r="CK137" s="70">
        <f t="shared" si="50"/>
        <v>308307.69230769231</v>
      </c>
      <c r="CL137" s="72">
        <f t="shared" si="51"/>
        <v>1302.1333333333332</v>
      </c>
      <c r="CM137" s="72">
        <f t="shared" si="52"/>
        <v>514</v>
      </c>
      <c r="CN137" s="72">
        <f t="shared" si="53"/>
        <v>514</v>
      </c>
      <c r="CO137" s="45">
        <f t="shared" si="54"/>
        <v>4.7658969895556016</v>
      </c>
      <c r="CP137" s="45">
        <f t="shared" si="55"/>
        <v>5.7075226977950706</v>
      </c>
      <c r="CQ137" s="45">
        <f t="shared" si="56"/>
        <v>5.7075226977950706</v>
      </c>
      <c r="CR137" s="45">
        <f t="shared" si="57"/>
        <v>5.7075226977950706</v>
      </c>
      <c r="CS137" s="45">
        <f t="shared" si="58"/>
        <v>0</v>
      </c>
      <c r="CT137" s="45">
        <f t="shared" si="59"/>
        <v>0</v>
      </c>
      <c r="CU137" s="45">
        <f t="shared" si="60"/>
        <v>0</v>
      </c>
      <c r="CV137" s="72">
        <f t="shared" si="61"/>
        <v>514</v>
      </c>
      <c r="CW137" s="72">
        <f t="shared" si="62"/>
        <v>0</v>
      </c>
      <c r="CX137" s="72">
        <f t="shared" si="63"/>
        <v>0</v>
      </c>
      <c r="CY137" s="72">
        <f t="shared" si="64"/>
        <v>0</v>
      </c>
      <c r="CZ137" s="70">
        <f t="shared" si="65"/>
        <v>66283.110662431514</v>
      </c>
    </row>
    <row r="138" spans="79:104">
      <c r="CB138" s="63">
        <v>7</v>
      </c>
      <c r="CC138" s="63">
        <f>data!$I28</f>
        <v>26</v>
      </c>
      <c r="CD138" s="63">
        <f>data!$J28</f>
        <v>342</v>
      </c>
      <c r="CE138" s="70">
        <f t="shared" si="44"/>
        <v>1107.6923076923076</v>
      </c>
      <c r="CF138" s="71">
        <f t="shared" si="45"/>
        <v>0.83311930596039141</v>
      </c>
      <c r="CG138" s="71">
        <f t="shared" si="46"/>
        <v>0.38192335540885691</v>
      </c>
      <c r="CH138" s="72">
        <f t="shared" si="47"/>
        <v>6135.25</v>
      </c>
      <c r="CI138" s="72">
        <f t="shared" si="48"/>
        <v>2900.2999999999997</v>
      </c>
      <c r="CJ138" s="72">
        <f t="shared" si="49"/>
        <v>2900.2999999999997</v>
      </c>
      <c r="CK138" s="70">
        <f t="shared" si="50"/>
        <v>378830.76923076919</v>
      </c>
      <c r="CL138" s="72">
        <f t="shared" si="51"/>
        <v>1323.92</v>
      </c>
      <c r="CM138" s="72">
        <f t="shared" si="52"/>
        <v>522.59999999999991</v>
      </c>
      <c r="CN138" s="72">
        <f t="shared" si="53"/>
        <v>522.59999999999991</v>
      </c>
      <c r="CO138" s="45">
        <f t="shared" si="54"/>
        <v>4.6341546316998006</v>
      </c>
      <c r="CP138" s="45">
        <f t="shared" si="55"/>
        <v>5.5497512437810954</v>
      </c>
      <c r="CQ138" s="45">
        <f t="shared" si="56"/>
        <v>5.5497512437810954</v>
      </c>
      <c r="CR138" s="45">
        <f t="shared" si="57"/>
        <v>5.5497512437810954</v>
      </c>
      <c r="CS138" s="45">
        <f t="shared" si="58"/>
        <v>0</v>
      </c>
      <c r="CT138" s="45">
        <f t="shared" si="59"/>
        <v>0</v>
      </c>
      <c r="CU138" s="45">
        <f t="shared" si="60"/>
        <v>0</v>
      </c>
      <c r="CV138" s="72">
        <f t="shared" si="61"/>
        <v>522.59999999999991</v>
      </c>
      <c r="CW138" s="72">
        <f t="shared" si="62"/>
        <v>0</v>
      </c>
      <c r="CX138" s="72">
        <f t="shared" si="63"/>
        <v>0</v>
      </c>
      <c r="CY138" s="72">
        <f t="shared" si="64"/>
        <v>0</v>
      </c>
      <c r="CZ138" s="70">
        <f t="shared" si="65"/>
        <v>81934.07028883083</v>
      </c>
    </row>
    <row r="139" spans="79:104">
      <c r="CB139" s="63">
        <v>8</v>
      </c>
      <c r="CC139" s="63">
        <f>data!$I29</f>
        <v>27</v>
      </c>
      <c r="CD139" s="63">
        <f>data!$J29</f>
        <v>349</v>
      </c>
      <c r="CE139" s="70">
        <f t="shared" si="44"/>
        <v>1292.3076923076924</v>
      </c>
      <c r="CF139" s="71">
        <f t="shared" si="45"/>
        <v>0.85170603092377806</v>
      </c>
      <c r="CG139" s="71">
        <f t="shared" si="46"/>
        <v>0.45076307749547456</v>
      </c>
      <c r="CH139" s="72">
        <f t="shared" si="47"/>
        <v>6064.666666666667</v>
      </c>
      <c r="CI139" s="72">
        <f t="shared" si="48"/>
        <v>2866.9333333333329</v>
      </c>
      <c r="CJ139" s="72">
        <f t="shared" si="49"/>
        <v>2866.9333333333329</v>
      </c>
      <c r="CK139" s="70">
        <f t="shared" si="50"/>
        <v>451015.38461538462</v>
      </c>
      <c r="CL139" s="72">
        <f t="shared" si="51"/>
        <v>1345.7066666666667</v>
      </c>
      <c r="CM139" s="72">
        <f t="shared" si="52"/>
        <v>531.19999999999993</v>
      </c>
      <c r="CN139" s="72">
        <f t="shared" si="53"/>
        <v>531.19999999999993</v>
      </c>
      <c r="CO139" s="45">
        <f t="shared" si="54"/>
        <v>4.5066780279010779</v>
      </c>
      <c r="CP139" s="45">
        <f t="shared" si="55"/>
        <v>5.3970883534136549</v>
      </c>
      <c r="CQ139" s="45">
        <f t="shared" si="56"/>
        <v>5.3970883534136549</v>
      </c>
      <c r="CR139" s="45">
        <f t="shared" si="57"/>
        <v>5.3970883534136549</v>
      </c>
      <c r="CS139" s="45">
        <f t="shared" si="58"/>
        <v>0</v>
      </c>
      <c r="CT139" s="45">
        <f t="shared" si="59"/>
        <v>0</v>
      </c>
      <c r="CU139" s="45">
        <f t="shared" si="60"/>
        <v>0</v>
      </c>
      <c r="CV139" s="72">
        <f t="shared" si="61"/>
        <v>531.19999999999993</v>
      </c>
      <c r="CW139" s="72">
        <f t="shared" si="62"/>
        <v>0</v>
      </c>
      <c r="CX139" s="72">
        <f t="shared" si="63"/>
        <v>0</v>
      </c>
      <c r="CY139" s="72">
        <f t="shared" si="64"/>
        <v>0</v>
      </c>
      <c r="CZ139" s="70">
        <f t="shared" si="65"/>
        <v>98116.513194764091</v>
      </c>
    </row>
    <row r="140" spans="79:104">
      <c r="CB140" s="63">
        <v>9</v>
      </c>
      <c r="CC140" s="63">
        <f>data!$I30</f>
        <v>28</v>
      </c>
      <c r="CD140" s="63">
        <f>data!$J30</f>
        <v>354</v>
      </c>
      <c r="CE140" s="70">
        <f t="shared" si="44"/>
        <v>1476.9230769230769</v>
      </c>
      <c r="CF140" s="71">
        <f t="shared" si="45"/>
        <v>0.87073049187804441</v>
      </c>
      <c r="CG140" s="71">
        <f t="shared" si="46"/>
        <v>0.52122404399275712</v>
      </c>
      <c r="CH140" s="72">
        <f t="shared" si="47"/>
        <v>5994.083333333333</v>
      </c>
      <c r="CI140" s="72">
        <f t="shared" si="48"/>
        <v>2833.5666666666666</v>
      </c>
      <c r="CJ140" s="72">
        <f t="shared" si="49"/>
        <v>2833.5666666666666</v>
      </c>
      <c r="CK140" s="70">
        <f t="shared" si="50"/>
        <v>522830.76923076925</v>
      </c>
      <c r="CL140" s="72">
        <f t="shared" si="51"/>
        <v>1367.4933333333333</v>
      </c>
      <c r="CM140" s="72">
        <f t="shared" si="52"/>
        <v>539.79999999999995</v>
      </c>
      <c r="CN140" s="72">
        <f t="shared" si="53"/>
        <v>539.79999999999995</v>
      </c>
      <c r="CO140" s="45">
        <f t="shared" si="54"/>
        <v>4.3832632943975351</v>
      </c>
      <c r="CP140" s="45">
        <f t="shared" si="55"/>
        <v>5.249289860442139</v>
      </c>
      <c r="CQ140" s="45">
        <f t="shared" si="56"/>
        <v>5.249289860442139</v>
      </c>
      <c r="CR140" s="45">
        <f t="shared" si="57"/>
        <v>5.249289860442139</v>
      </c>
      <c r="CS140" s="45">
        <f t="shared" si="58"/>
        <v>0</v>
      </c>
      <c r="CT140" s="45">
        <f t="shared" si="59"/>
        <v>0</v>
      </c>
      <c r="CU140" s="45">
        <f t="shared" si="60"/>
        <v>0</v>
      </c>
      <c r="CV140" s="72">
        <f t="shared" si="61"/>
        <v>539.79999999999995</v>
      </c>
      <c r="CW140" s="72">
        <f t="shared" si="62"/>
        <v>0</v>
      </c>
      <c r="CX140" s="72">
        <f t="shared" si="63"/>
        <v>0</v>
      </c>
      <c r="CY140" s="72">
        <f t="shared" si="64"/>
        <v>0</v>
      </c>
      <c r="CZ140" s="70">
        <f t="shared" si="65"/>
        <v>114387.04227816442</v>
      </c>
    </row>
    <row r="141" spans="79:104">
      <c r="CB141" s="63">
        <v>10</v>
      </c>
      <c r="CC141" s="63">
        <f>data!$I31</f>
        <v>29</v>
      </c>
      <c r="CD141" s="63">
        <f>data!$J31</f>
        <v>356</v>
      </c>
      <c r="CE141" s="70">
        <f t="shared" si="44"/>
        <v>1661.5384615384614</v>
      </c>
      <c r="CF141" s="71">
        <f t="shared" si="45"/>
        <v>0.89020833676715405</v>
      </c>
      <c r="CG141" s="71">
        <f t="shared" si="46"/>
        <v>0.59336421024871855</v>
      </c>
      <c r="CH141" s="72">
        <f t="shared" si="47"/>
        <v>5923.5</v>
      </c>
      <c r="CI141" s="72">
        <f t="shared" si="48"/>
        <v>2800.2</v>
      </c>
      <c r="CJ141" s="72">
        <f t="shared" si="49"/>
        <v>2800.2</v>
      </c>
      <c r="CK141" s="70">
        <f t="shared" si="50"/>
        <v>591507.69230769225</v>
      </c>
      <c r="CL141" s="72">
        <f t="shared" si="51"/>
        <v>1389.28</v>
      </c>
      <c r="CM141" s="72">
        <f t="shared" si="52"/>
        <v>548.4</v>
      </c>
      <c r="CN141" s="72">
        <f t="shared" si="53"/>
        <v>548.4</v>
      </c>
      <c r="CO141" s="45">
        <f t="shared" si="54"/>
        <v>4.2637193366348036</v>
      </c>
      <c r="CP141" s="45">
        <f t="shared" si="55"/>
        <v>5.1061269146608312</v>
      </c>
      <c r="CQ141" s="45">
        <f t="shared" si="56"/>
        <v>5.1061269146608312</v>
      </c>
      <c r="CR141" s="45">
        <f t="shared" si="57"/>
        <v>5.1061269146608312</v>
      </c>
      <c r="CS141" s="45">
        <f t="shared" si="58"/>
        <v>0</v>
      </c>
      <c r="CT141" s="45">
        <f t="shared" si="59"/>
        <v>0</v>
      </c>
      <c r="CU141" s="45">
        <f t="shared" si="60"/>
        <v>0</v>
      </c>
      <c r="CV141" s="72">
        <f t="shared" si="61"/>
        <v>548.4</v>
      </c>
      <c r="CW141" s="72">
        <f t="shared" si="62"/>
        <v>0</v>
      </c>
      <c r="CX141" s="72">
        <f t="shared" si="63"/>
        <v>0</v>
      </c>
      <c r="CY141" s="72">
        <f t="shared" si="64"/>
        <v>0</v>
      </c>
      <c r="CZ141" s="70">
        <f t="shared" si="65"/>
        <v>130129.91153647403</v>
      </c>
    </row>
    <row r="142" spans="79:104">
      <c r="CB142" s="63">
        <v>11</v>
      </c>
      <c r="CC142" s="63">
        <f>data!$I32</f>
        <v>30</v>
      </c>
      <c r="CD142" s="63">
        <f>data!$J32</f>
        <v>355</v>
      </c>
      <c r="CE142" s="70">
        <f t="shared" si="44"/>
        <v>1846.1538461538462</v>
      </c>
      <c r="CF142" s="71">
        <f t="shared" si="45"/>
        <v>0.91015596836149815</v>
      </c>
      <c r="CG142" s="71">
        <f t="shared" si="46"/>
        <v>0.66724432726480809</v>
      </c>
      <c r="CH142" s="72">
        <f t="shared" si="47"/>
        <v>5852.916666666667</v>
      </c>
      <c r="CI142" s="72">
        <f t="shared" si="48"/>
        <v>2766.833333333333</v>
      </c>
      <c r="CJ142" s="72">
        <f t="shared" si="49"/>
        <v>2766.833333333333</v>
      </c>
      <c r="CK142" s="70">
        <f t="shared" si="50"/>
        <v>655384.61538461538</v>
      </c>
      <c r="CL142" s="72">
        <f t="shared" si="51"/>
        <v>1411.0666666666666</v>
      </c>
      <c r="CM142" s="72">
        <f t="shared" si="52"/>
        <v>557</v>
      </c>
      <c r="CN142" s="72">
        <f t="shared" si="53"/>
        <v>557</v>
      </c>
      <c r="CO142" s="45">
        <f t="shared" si="54"/>
        <v>4.1478668619484083</v>
      </c>
      <c r="CP142" s="45">
        <f t="shared" si="55"/>
        <v>4.9673847995212439</v>
      </c>
      <c r="CQ142" s="45">
        <f t="shared" si="56"/>
        <v>4.9673847995212439</v>
      </c>
      <c r="CR142" s="45">
        <f t="shared" si="57"/>
        <v>4.9673847995212439</v>
      </c>
      <c r="CS142" s="45">
        <f t="shared" si="58"/>
        <v>0</v>
      </c>
      <c r="CT142" s="45">
        <f t="shared" si="59"/>
        <v>0</v>
      </c>
      <c r="CU142" s="45">
        <f t="shared" si="60"/>
        <v>0</v>
      </c>
      <c r="CV142" s="72">
        <f t="shared" si="61"/>
        <v>557</v>
      </c>
      <c r="CW142" s="72">
        <f t="shared" si="62"/>
        <v>0</v>
      </c>
      <c r="CX142" s="72">
        <f t="shared" si="63"/>
        <v>0</v>
      </c>
      <c r="CY142" s="72">
        <f t="shared" si="64"/>
        <v>0</v>
      </c>
      <c r="CZ142" s="70">
        <f t="shared" si="65"/>
        <v>144961.48093081944</v>
      </c>
    </row>
    <row r="143" spans="79:104">
      <c r="CB143" s="63">
        <v>12</v>
      </c>
      <c r="CC143" s="63">
        <f>data!$I33</f>
        <v>31</v>
      </c>
      <c r="CD143" s="63">
        <f>data!$J33</f>
        <v>351</v>
      </c>
      <c r="CE143" s="70">
        <f t="shared" si="44"/>
        <v>2030.7692307692307</v>
      </c>
      <c r="CF143" s="71">
        <f t="shared" si="45"/>
        <v>0.93059059032767633</v>
      </c>
      <c r="CG143" s="71">
        <f t="shared" si="46"/>
        <v>0.74292811232472711</v>
      </c>
      <c r="CH143" s="72">
        <f t="shared" si="47"/>
        <v>5782.333333333333</v>
      </c>
      <c r="CI143" s="72">
        <f t="shared" si="48"/>
        <v>2733.4666666666667</v>
      </c>
      <c r="CJ143" s="72">
        <f t="shared" si="49"/>
        <v>2733.4666666666667</v>
      </c>
      <c r="CK143" s="70">
        <f t="shared" si="50"/>
        <v>712800</v>
      </c>
      <c r="CL143" s="72">
        <f t="shared" si="51"/>
        <v>1432.8533333333332</v>
      </c>
      <c r="CM143" s="72">
        <f t="shared" si="52"/>
        <v>565.6</v>
      </c>
      <c r="CN143" s="72">
        <f t="shared" si="53"/>
        <v>565.6</v>
      </c>
      <c r="CO143" s="45">
        <f t="shared" si="54"/>
        <v>4.0355374823196604</v>
      </c>
      <c r="CP143" s="45">
        <f t="shared" si="55"/>
        <v>4.8328618576143327</v>
      </c>
      <c r="CQ143" s="45">
        <f t="shared" si="56"/>
        <v>4.8328618576143327</v>
      </c>
      <c r="CR143" s="45">
        <f t="shared" si="57"/>
        <v>4.8328618576143327</v>
      </c>
      <c r="CS143" s="45">
        <f t="shared" si="58"/>
        <v>0</v>
      </c>
      <c r="CT143" s="45">
        <f t="shared" si="59"/>
        <v>0</v>
      </c>
      <c r="CU143" s="45">
        <f t="shared" si="60"/>
        <v>0</v>
      </c>
      <c r="CV143" s="72">
        <f t="shared" si="61"/>
        <v>565.6</v>
      </c>
      <c r="CW143" s="72">
        <f t="shared" si="62"/>
        <v>0</v>
      </c>
      <c r="CX143" s="72">
        <f t="shared" si="63"/>
        <v>0</v>
      </c>
      <c r="CY143" s="72">
        <f t="shared" si="64"/>
        <v>0</v>
      </c>
      <c r="CZ143" s="70">
        <f t="shared" si="65"/>
        <v>158491.01719822903</v>
      </c>
    </row>
    <row r="144" spans="79:104">
      <c r="CB144" s="63">
        <v>13</v>
      </c>
      <c r="CC144" s="63">
        <f>data!$I34</f>
        <v>32</v>
      </c>
      <c r="CD144" s="63">
        <f>data!$J34</f>
        <v>344</v>
      </c>
      <c r="CE144" s="70">
        <f t="shared" si="44"/>
        <v>2215.3846153846152</v>
      </c>
      <c r="CF144" s="71">
        <f t="shared" si="45"/>
        <v>0.95153025671413882</v>
      </c>
      <c r="CG144" s="71">
        <f t="shared" si="46"/>
        <v>0.82048243227458806</v>
      </c>
      <c r="CH144" s="72">
        <f t="shared" si="47"/>
        <v>5711.75</v>
      </c>
      <c r="CI144" s="72">
        <f t="shared" si="48"/>
        <v>2700.1</v>
      </c>
      <c r="CJ144" s="72">
        <f t="shared" si="49"/>
        <v>2700.1</v>
      </c>
      <c r="CK144" s="70">
        <f t="shared" si="50"/>
        <v>762092.30769230763</v>
      </c>
      <c r="CL144" s="72">
        <f t="shared" si="51"/>
        <v>1454.6399999999999</v>
      </c>
      <c r="CM144" s="72">
        <f t="shared" si="52"/>
        <v>574.20000000000005</v>
      </c>
      <c r="CN144" s="72">
        <f t="shared" si="53"/>
        <v>574.20000000000005</v>
      </c>
      <c r="CO144" s="45">
        <f t="shared" si="54"/>
        <v>3.9265728977616456</v>
      </c>
      <c r="CP144" s="45">
        <f t="shared" si="55"/>
        <v>4.7023685127133401</v>
      </c>
      <c r="CQ144" s="45">
        <f t="shared" si="56"/>
        <v>4.7023685127133401</v>
      </c>
      <c r="CR144" s="45">
        <f t="shared" si="57"/>
        <v>4.7023685127133401</v>
      </c>
      <c r="CS144" s="45">
        <f t="shared" si="58"/>
        <v>0</v>
      </c>
      <c r="CT144" s="45">
        <f t="shared" si="59"/>
        <v>0</v>
      </c>
      <c r="CU144" s="45">
        <f t="shared" si="60"/>
        <v>0</v>
      </c>
      <c r="CV144" s="72">
        <f t="shared" si="61"/>
        <v>574.20000000000005</v>
      </c>
      <c r="CW144" s="72">
        <f t="shared" si="62"/>
        <v>0</v>
      </c>
      <c r="CX144" s="72">
        <f t="shared" si="63"/>
        <v>0</v>
      </c>
      <c r="CY144" s="72">
        <f t="shared" si="64"/>
        <v>0</v>
      </c>
      <c r="CZ144" s="70">
        <f t="shared" si="65"/>
        <v>170321.04569980031</v>
      </c>
    </row>
    <row r="145" spans="80:104">
      <c r="CB145" s="63">
        <v>14</v>
      </c>
      <c r="CC145" s="63">
        <f>data!$I35</f>
        <v>33</v>
      </c>
      <c r="CD145" s="63">
        <f>data!$J35</f>
        <v>332</v>
      </c>
      <c r="CE145" s="70">
        <f t="shared" si="44"/>
        <v>2400</v>
      </c>
      <c r="CF145" s="71">
        <f t="shared" si="45"/>
        <v>0.97299392515187122</v>
      </c>
      <c r="CG145" s="71">
        <f t="shared" si="46"/>
        <v>0.89997750056248604</v>
      </c>
      <c r="CH145" s="72">
        <f t="shared" si="47"/>
        <v>5641.166666666667</v>
      </c>
      <c r="CI145" s="72">
        <f t="shared" si="48"/>
        <v>2666.7333333333331</v>
      </c>
      <c r="CJ145" s="72">
        <f t="shared" si="49"/>
        <v>2666.7333333333331</v>
      </c>
      <c r="CK145" s="70">
        <f t="shared" si="50"/>
        <v>796800</v>
      </c>
      <c r="CL145" s="72">
        <f t="shared" si="51"/>
        <v>1476.4266666666667</v>
      </c>
      <c r="CM145" s="72">
        <f t="shared" si="52"/>
        <v>582.79999999999995</v>
      </c>
      <c r="CN145" s="72">
        <f t="shared" si="53"/>
        <v>582.79999999999995</v>
      </c>
      <c r="CO145" s="45">
        <f t="shared" si="54"/>
        <v>3.8208241520066468</v>
      </c>
      <c r="CP145" s="45">
        <f t="shared" si="55"/>
        <v>4.575726378403111</v>
      </c>
      <c r="CQ145" s="45">
        <f t="shared" si="56"/>
        <v>4.575726378403111</v>
      </c>
      <c r="CR145" s="45">
        <f t="shared" si="57"/>
        <v>4.575726378403111</v>
      </c>
      <c r="CS145" s="45">
        <f t="shared" si="58"/>
        <v>0</v>
      </c>
      <c r="CT145" s="45">
        <f t="shared" si="59"/>
        <v>0</v>
      </c>
      <c r="CU145" s="45">
        <f t="shared" si="60"/>
        <v>0</v>
      </c>
      <c r="CV145" s="72">
        <f t="shared" si="61"/>
        <v>582.79999999999995</v>
      </c>
      <c r="CW145" s="72">
        <f t="shared" si="62"/>
        <v>0</v>
      </c>
      <c r="CX145" s="72">
        <f t="shared" si="63"/>
        <v>0</v>
      </c>
      <c r="CY145" s="72">
        <f t="shared" si="64"/>
        <v>0</v>
      </c>
      <c r="CZ145" s="70">
        <f t="shared" si="65"/>
        <v>178969.55170162534</v>
      </c>
    </row>
    <row r="146" spans="80:104">
      <c r="CB146" s="63">
        <v>15</v>
      </c>
      <c r="CC146" s="63">
        <f>data!$I36</f>
        <v>34</v>
      </c>
      <c r="CD146" s="63">
        <f>data!$J36</f>
        <v>317</v>
      </c>
      <c r="CE146" s="70">
        <f t="shared" si="44"/>
        <v>2584.6153846153848</v>
      </c>
      <c r="CF146" s="71">
        <f t="shared" si="45"/>
        <v>0.99500151409962678</v>
      </c>
      <c r="CG146" s="71">
        <f t="shared" si="46"/>
        <v>0.98148708925787698</v>
      </c>
      <c r="CH146" s="72">
        <f t="shared" si="47"/>
        <v>5570.583333333333</v>
      </c>
      <c r="CI146" s="72">
        <f t="shared" si="48"/>
        <v>2633.3666666666668</v>
      </c>
      <c r="CJ146" s="72">
        <f t="shared" si="49"/>
        <v>2633.3666666666668</v>
      </c>
      <c r="CK146" s="70">
        <f t="shared" si="50"/>
        <v>819323.07692307699</v>
      </c>
      <c r="CL146" s="72">
        <f t="shared" si="51"/>
        <v>1498.2133333333334</v>
      </c>
      <c r="CM146" s="72">
        <f t="shared" si="52"/>
        <v>591.4</v>
      </c>
      <c r="CN146" s="72">
        <f t="shared" si="53"/>
        <v>591.4</v>
      </c>
      <c r="CO146" s="45">
        <f t="shared" si="54"/>
        <v>3.7181509531352899</v>
      </c>
      <c r="CP146" s="45">
        <f t="shared" si="55"/>
        <v>4.4527674444820207</v>
      </c>
      <c r="CQ146" s="45">
        <f t="shared" si="56"/>
        <v>4.4527674444820207</v>
      </c>
      <c r="CR146" s="45">
        <f t="shared" si="57"/>
        <v>4.4527674444820207</v>
      </c>
      <c r="CS146" s="45">
        <f t="shared" si="58"/>
        <v>0</v>
      </c>
      <c r="CT146" s="45">
        <f t="shared" si="59"/>
        <v>0</v>
      </c>
      <c r="CU146" s="45">
        <f t="shared" si="60"/>
        <v>0</v>
      </c>
      <c r="CV146" s="72">
        <f t="shared" si="61"/>
        <v>591.4</v>
      </c>
      <c r="CW146" s="72">
        <f t="shared" si="62"/>
        <v>0</v>
      </c>
      <c r="CX146" s="72">
        <f t="shared" si="63"/>
        <v>0</v>
      </c>
      <c r="CY146" s="72">
        <f t="shared" si="64"/>
        <v>0</v>
      </c>
      <c r="CZ146" s="70">
        <f t="shared" si="65"/>
        <v>184927.4716336659</v>
      </c>
    </row>
    <row r="147" spans="80:104">
      <c r="CB147" s="63">
        <v>16</v>
      </c>
      <c r="CC147" s="63">
        <f>data!$I37</f>
        <v>35</v>
      </c>
      <c r="CD147" s="63">
        <f>data!$J37</f>
        <v>299</v>
      </c>
      <c r="CE147" s="70">
        <f t="shared" si="44"/>
        <v>2769.2307692307691</v>
      </c>
      <c r="CF147" s="71">
        <f t="shared" si="45"/>
        <v>1</v>
      </c>
      <c r="CG147" s="71">
        <f t="shared" si="46"/>
        <v>1</v>
      </c>
      <c r="CH147" s="72">
        <f t="shared" si="47"/>
        <v>5500</v>
      </c>
      <c r="CI147" s="72">
        <f t="shared" si="48"/>
        <v>2600</v>
      </c>
      <c r="CJ147" s="72">
        <f t="shared" si="49"/>
        <v>2600</v>
      </c>
      <c r="CK147" s="70">
        <f t="shared" si="50"/>
        <v>828000</v>
      </c>
      <c r="CL147" s="72">
        <f t="shared" si="51"/>
        <v>1520</v>
      </c>
      <c r="CM147" s="72">
        <f t="shared" si="52"/>
        <v>600</v>
      </c>
      <c r="CN147" s="72">
        <f t="shared" si="53"/>
        <v>600</v>
      </c>
      <c r="CO147" s="45">
        <f t="shared" si="54"/>
        <v>3.6184210526315788</v>
      </c>
      <c r="CP147" s="45">
        <f t="shared" si="55"/>
        <v>4.333333333333333</v>
      </c>
      <c r="CQ147" s="45">
        <f t="shared" si="56"/>
        <v>4.333333333333333</v>
      </c>
      <c r="CR147" s="45">
        <f t="shared" si="57"/>
        <v>0</v>
      </c>
      <c r="CS147" s="45">
        <f t="shared" si="58"/>
        <v>0</v>
      </c>
      <c r="CT147" s="45">
        <f t="shared" si="59"/>
        <v>4.3094523041337771</v>
      </c>
      <c r="CU147" s="45">
        <f t="shared" si="60"/>
        <v>0</v>
      </c>
      <c r="CV147" s="72">
        <f t="shared" si="61"/>
        <v>0</v>
      </c>
      <c r="CW147" s="72">
        <f t="shared" si="62"/>
        <v>0</v>
      </c>
      <c r="CX147" s="72">
        <f t="shared" si="63"/>
        <v>642.59459759525043</v>
      </c>
      <c r="CY147" s="72">
        <f t="shared" si="64"/>
        <v>0</v>
      </c>
      <c r="CZ147" s="70">
        <f t="shared" si="65"/>
        <v>192135.78468097988</v>
      </c>
    </row>
    <row r="148" spans="80:104">
      <c r="CB148" s="63">
        <v>17</v>
      </c>
      <c r="CC148" s="63">
        <f>data!$I38</f>
        <v>36</v>
      </c>
      <c r="CD148" s="63">
        <f>data!$J38</f>
        <v>277</v>
      </c>
      <c r="CE148" s="70">
        <f t="shared" si="44"/>
        <v>2953.8461538461538</v>
      </c>
      <c r="CF148" s="71">
        <f t="shared" si="45"/>
        <v>1</v>
      </c>
      <c r="CG148" s="71">
        <f t="shared" si="46"/>
        <v>1</v>
      </c>
      <c r="CH148" s="72">
        <f t="shared" si="47"/>
        <v>5436.363636363636</v>
      </c>
      <c r="CI148" s="72">
        <f t="shared" si="48"/>
        <v>2566.6727272727271</v>
      </c>
      <c r="CJ148" s="72">
        <f t="shared" si="49"/>
        <v>2566.6727272727271</v>
      </c>
      <c r="CK148" s="70">
        <f t="shared" si="50"/>
        <v>818215.38461538462</v>
      </c>
      <c r="CL148" s="72">
        <f t="shared" si="51"/>
        <v>1550</v>
      </c>
      <c r="CM148" s="72">
        <f t="shared" si="52"/>
        <v>613.63636363636363</v>
      </c>
      <c r="CN148" s="72">
        <f t="shared" si="53"/>
        <v>613.63636363636363</v>
      </c>
      <c r="CO148" s="45">
        <f t="shared" si="54"/>
        <v>3.5073313782991202</v>
      </c>
      <c r="CP148" s="45">
        <f t="shared" si="55"/>
        <v>4.1827259259259257</v>
      </c>
      <c r="CQ148" s="45">
        <f t="shared" si="56"/>
        <v>4.1827259259259257</v>
      </c>
      <c r="CR148" s="45">
        <f t="shared" si="57"/>
        <v>0</v>
      </c>
      <c r="CS148" s="45">
        <f t="shared" si="58"/>
        <v>0</v>
      </c>
      <c r="CT148" s="45">
        <f t="shared" si="59"/>
        <v>4.174428945644939</v>
      </c>
      <c r="CU148" s="45">
        <f t="shared" si="60"/>
        <v>0</v>
      </c>
      <c r="CV148" s="72">
        <f t="shared" si="61"/>
        <v>0</v>
      </c>
      <c r="CW148" s="72">
        <f t="shared" si="62"/>
        <v>0</v>
      </c>
      <c r="CX148" s="72">
        <f t="shared" si="63"/>
        <v>707.60484662885835</v>
      </c>
      <c r="CY148" s="72">
        <f t="shared" si="64"/>
        <v>0</v>
      </c>
      <c r="CZ148" s="70">
        <f t="shared" si="65"/>
        <v>196006.54251619376</v>
      </c>
    </row>
    <row r="149" spans="80:104">
      <c r="CB149" s="63">
        <v>18</v>
      </c>
      <c r="CC149" s="63">
        <f>data!$I39</f>
        <v>37</v>
      </c>
      <c r="CD149" s="63">
        <f>data!$J39</f>
        <v>252</v>
      </c>
      <c r="CE149" s="70">
        <f t="shared" si="44"/>
        <v>3138.4615384615386</v>
      </c>
      <c r="CF149" s="71">
        <f t="shared" si="45"/>
        <v>1</v>
      </c>
      <c r="CG149" s="71">
        <f t="shared" si="46"/>
        <v>1</v>
      </c>
      <c r="CH149" s="72">
        <f t="shared" si="47"/>
        <v>5372.727272727273</v>
      </c>
      <c r="CI149" s="72">
        <f t="shared" si="48"/>
        <v>2533.3454545454547</v>
      </c>
      <c r="CJ149" s="72">
        <f t="shared" si="49"/>
        <v>2533.3454545454547</v>
      </c>
      <c r="CK149" s="70">
        <f t="shared" si="50"/>
        <v>790892.30769230775</v>
      </c>
      <c r="CL149" s="72">
        <f t="shared" si="51"/>
        <v>1580</v>
      </c>
      <c r="CM149" s="72">
        <f t="shared" si="52"/>
        <v>627.27272727272725</v>
      </c>
      <c r="CN149" s="72">
        <f t="shared" si="53"/>
        <v>627.27272727272725</v>
      </c>
      <c r="CO149" s="45">
        <f t="shared" si="54"/>
        <v>3.4004602991944766</v>
      </c>
      <c r="CP149" s="45">
        <f t="shared" si="55"/>
        <v>4.0386666666666668</v>
      </c>
      <c r="CQ149" s="45">
        <f t="shared" si="56"/>
        <v>4.0386666666666668</v>
      </c>
      <c r="CR149" s="45">
        <f t="shared" si="57"/>
        <v>0</v>
      </c>
      <c r="CS149" s="45">
        <f t="shared" si="58"/>
        <v>0</v>
      </c>
      <c r="CT149" s="45">
        <f t="shared" si="59"/>
        <v>4.0164455105399046</v>
      </c>
      <c r="CU149" s="45">
        <f t="shared" si="60"/>
        <v>0</v>
      </c>
      <c r="CV149" s="72">
        <f t="shared" si="61"/>
        <v>0</v>
      </c>
      <c r="CW149" s="72">
        <f t="shared" si="62"/>
        <v>0</v>
      </c>
      <c r="CX149" s="72">
        <f t="shared" si="63"/>
        <v>781.40274285450357</v>
      </c>
      <c r="CY149" s="72">
        <f t="shared" si="64"/>
        <v>0</v>
      </c>
      <c r="CZ149" s="70">
        <f t="shared" si="65"/>
        <v>196913.49119933491</v>
      </c>
    </row>
    <row r="150" spans="80:104">
      <c r="CB150" s="63">
        <v>19</v>
      </c>
      <c r="CC150" s="63">
        <f>data!$I40</f>
        <v>38</v>
      </c>
      <c r="CD150" s="63">
        <f>data!$J40</f>
        <v>225</v>
      </c>
      <c r="CE150" s="70">
        <f t="shared" si="44"/>
        <v>3323.0769230769229</v>
      </c>
      <c r="CF150" s="71">
        <f t="shared" si="45"/>
        <v>1</v>
      </c>
      <c r="CG150" s="71">
        <f t="shared" si="46"/>
        <v>1</v>
      </c>
      <c r="CH150" s="72">
        <f t="shared" si="47"/>
        <v>5309.090909090909</v>
      </c>
      <c r="CI150" s="72">
        <f t="shared" si="48"/>
        <v>2500.0181818181818</v>
      </c>
      <c r="CJ150" s="72">
        <f t="shared" si="49"/>
        <v>2500.0181818181818</v>
      </c>
      <c r="CK150" s="70">
        <f t="shared" si="50"/>
        <v>747692.30769230763</v>
      </c>
      <c r="CL150" s="72">
        <f t="shared" si="51"/>
        <v>1610</v>
      </c>
      <c r="CM150" s="72">
        <f t="shared" si="52"/>
        <v>640.90909090909088</v>
      </c>
      <c r="CN150" s="72">
        <f t="shared" si="53"/>
        <v>640.90909090909088</v>
      </c>
      <c r="CO150" s="45">
        <f t="shared" si="54"/>
        <v>3.2975719932241669</v>
      </c>
      <c r="CP150" s="45">
        <f t="shared" si="55"/>
        <v>3.9007375886524822</v>
      </c>
      <c r="CQ150" s="45">
        <f t="shared" si="56"/>
        <v>3.9007375886524822</v>
      </c>
      <c r="CR150" s="45">
        <f t="shared" si="57"/>
        <v>0</v>
      </c>
      <c r="CS150" s="45">
        <f t="shared" si="58"/>
        <v>0</v>
      </c>
      <c r="CT150" s="45">
        <f t="shared" si="59"/>
        <v>3.8584620754348702</v>
      </c>
      <c r="CU150" s="45">
        <f t="shared" si="60"/>
        <v>0</v>
      </c>
      <c r="CV150" s="72">
        <f t="shared" si="61"/>
        <v>0</v>
      </c>
      <c r="CW150" s="72">
        <f t="shared" si="62"/>
        <v>0</v>
      </c>
      <c r="CX150" s="72">
        <f t="shared" si="63"/>
        <v>861.24389928139794</v>
      </c>
      <c r="CY150" s="72">
        <f t="shared" si="64"/>
        <v>0</v>
      </c>
      <c r="CZ150" s="70">
        <f t="shared" si="65"/>
        <v>193779.87733831455</v>
      </c>
    </row>
    <row r="151" spans="80:104">
      <c r="CB151" s="63">
        <v>20</v>
      </c>
      <c r="CC151" s="63">
        <f>data!$I41</f>
        <v>39</v>
      </c>
      <c r="CD151" s="63">
        <f>data!$J41</f>
        <v>195</v>
      </c>
      <c r="CE151" s="70">
        <f t="shared" si="44"/>
        <v>3507.6923076923076</v>
      </c>
      <c r="CF151" s="71">
        <f t="shared" si="45"/>
        <v>1</v>
      </c>
      <c r="CG151" s="71">
        <f t="shared" si="46"/>
        <v>1</v>
      </c>
      <c r="CH151" s="72">
        <f t="shared" si="47"/>
        <v>5245.454545454545</v>
      </c>
      <c r="CI151" s="72">
        <f t="shared" si="48"/>
        <v>2466.6909090909094</v>
      </c>
      <c r="CJ151" s="72">
        <f t="shared" si="49"/>
        <v>2466.6909090909094</v>
      </c>
      <c r="CK151" s="70">
        <f t="shared" si="50"/>
        <v>684000</v>
      </c>
      <c r="CL151" s="72">
        <f t="shared" si="51"/>
        <v>1640</v>
      </c>
      <c r="CM151" s="72">
        <f t="shared" si="52"/>
        <v>654.5454545454545</v>
      </c>
      <c r="CN151" s="72">
        <f t="shared" si="53"/>
        <v>654.5454545454545</v>
      </c>
      <c r="CO151" s="45">
        <f t="shared" si="54"/>
        <v>3.1984478935698446</v>
      </c>
      <c r="CP151" s="45">
        <f t="shared" si="55"/>
        <v>3.7685555555555563</v>
      </c>
      <c r="CQ151" s="45">
        <f t="shared" si="56"/>
        <v>3.7685555555555563</v>
      </c>
      <c r="CR151" s="45">
        <f t="shared" si="57"/>
        <v>0</v>
      </c>
      <c r="CS151" s="45">
        <f t="shared" si="58"/>
        <v>0</v>
      </c>
      <c r="CT151" s="45">
        <f t="shared" si="59"/>
        <v>3.7004786403298358</v>
      </c>
      <c r="CU151" s="45">
        <f t="shared" si="60"/>
        <v>0</v>
      </c>
      <c r="CV151" s="72">
        <f t="shared" si="61"/>
        <v>0</v>
      </c>
      <c r="CW151" s="72">
        <f t="shared" si="62"/>
        <v>0</v>
      </c>
      <c r="CX151" s="72">
        <f t="shared" si="63"/>
        <v>947.90232524613509</v>
      </c>
      <c r="CY151" s="72">
        <f t="shared" si="64"/>
        <v>0</v>
      </c>
      <c r="CZ151" s="70">
        <f t="shared" si="65"/>
        <v>184840.95342299633</v>
      </c>
    </row>
    <row r="152" spans="80:104">
      <c r="CB152" s="63">
        <v>21</v>
      </c>
      <c r="CC152" s="63">
        <f>data!$I42</f>
        <v>40</v>
      </c>
      <c r="CD152" s="63">
        <f>data!$J42</f>
        <v>165</v>
      </c>
      <c r="CE152" s="70">
        <f t="shared" si="44"/>
        <v>3692.3076923076924</v>
      </c>
      <c r="CF152" s="71">
        <f t="shared" si="45"/>
        <v>1</v>
      </c>
      <c r="CG152" s="71">
        <f t="shared" si="46"/>
        <v>1</v>
      </c>
      <c r="CH152" s="72">
        <f t="shared" si="47"/>
        <v>5181.818181818182</v>
      </c>
      <c r="CI152" s="72">
        <f t="shared" si="48"/>
        <v>2433.3636363636365</v>
      </c>
      <c r="CJ152" s="72">
        <f t="shared" si="49"/>
        <v>2433.3636363636365</v>
      </c>
      <c r="CK152" s="70">
        <f t="shared" si="50"/>
        <v>609230.76923076925</v>
      </c>
      <c r="CL152" s="72">
        <f t="shared" si="51"/>
        <v>1670</v>
      </c>
      <c r="CM152" s="72">
        <f t="shared" si="52"/>
        <v>668.18181818181824</v>
      </c>
      <c r="CN152" s="72">
        <f t="shared" si="53"/>
        <v>668.18181818181824</v>
      </c>
      <c r="CO152" s="45">
        <f t="shared" si="54"/>
        <v>3.1028851388132828</v>
      </c>
      <c r="CP152" s="45">
        <f t="shared" si="55"/>
        <v>3.641768707482993</v>
      </c>
      <c r="CQ152" s="45">
        <f t="shared" si="56"/>
        <v>3.641768707482993</v>
      </c>
      <c r="CR152" s="45">
        <f t="shared" si="57"/>
        <v>0</v>
      </c>
      <c r="CS152" s="45">
        <f t="shared" si="58"/>
        <v>0</v>
      </c>
      <c r="CT152" s="45">
        <f t="shared" si="59"/>
        <v>3.5424952052248013</v>
      </c>
      <c r="CU152" s="45">
        <f t="shared" si="60"/>
        <v>0</v>
      </c>
      <c r="CV152" s="72">
        <f t="shared" si="61"/>
        <v>0</v>
      </c>
      <c r="CW152" s="72">
        <f t="shared" si="62"/>
        <v>0</v>
      </c>
      <c r="CX152" s="72">
        <f t="shared" si="63"/>
        <v>1042.2901029934872</v>
      </c>
      <c r="CY152" s="72">
        <f t="shared" si="64"/>
        <v>0</v>
      </c>
      <c r="CZ152" s="70">
        <f t="shared" si="65"/>
        <v>171977.86699392539</v>
      </c>
    </row>
    <row r="153" spans="80:104">
      <c r="CB153" s="63">
        <v>22</v>
      </c>
      <c r="CC153" s="63">
        <f>data!$I43</f>
        <v>41</v>
      </c>
      <c r="CD153" s="63">
        <f>data!$J43</f>
        <v>133</v>
      </c>
      <c r="CE153" s="70">
        <f t="shared" si="44"/>
        <v>3876.9230769230771</v>
      </c>
      <c r="CF153" s="71">
        <f t="shared" si="45"/>
        <v>1</v>
      </c>
      <c r="CG153" s="71">
        <f t="shared" si="46"/>
        <v>1</v>
      </c>
      <c r="CH153" s="72">
        <f t="shared" si="47"/>
        <v>5118.181818181818</v>
      </c>
      <c r="CI153" s="72">
        <f t="shared" si="48"/>
        <v>2400.0363636363636</v>
      </c>
      <c r="CJ153" s="72">
        <f t="shared" si="49"/>
        <v>2400.0363636363636</v>
      </c>
      <c r="CK153" s="70">
        <f t="shared" si="50"/>
        <v>515630.76923076925</v>
      </c>
      <c r="CL153" s="72">
        <f t="shared" si="51"/>
        <v>1700</v>
      </c>
      <c r="CM153" s="72">
        <f t="shared" si="52"/>
        <v>681.81818181818176</v>
      </c>
      <c r="CN153" s="72">
        <f t="shared" si="53"/>
        <v>681.81818181818176</v>
      </c>
      <c r="CO153" s="45">
        <f t="shared" si="54"/>
        <v>3.0106951871657754</v>
      </c>
      <c r="CP153" s="45">
        <f t="shared" si="55"/>
        <v>3.5200533333333337</v>
      </c>
      <c r="CQ153" s="45">
        <f t="shared" si="56"/>
        <v>3.5200533333333337</v>
      </c>
      <c r="CR153" s="45">
        <f t="shared" si="57"/>
        <v>0</v>
      </c>
      <c r="CS153" s="45">
        <f t="shared" si="58"/>
        <v>0</v>
      </c>
      <c r="CT153" s="45">
        <f t="shared" si="59"/>
        <v>3.3845117701197669</v>
      </c>
      <c r="CU153" s="45">
        <f t="shared" si="60"/>
        <v>0</v>
      </c>
      <c r="CV153" s="72">
        <f t="shared" si="61"/>
        <v>0</v>
      </c>
      <c r="CW153" s="72">
        <f t="shared" si="62"/>
        <v>0</v>
      </c>
      <c r="CX153" s="72">
        <f t="shared" si="63"/>
        <v>1145.4896127561362</v>
      </c>
      <c r="CY153" s="72">
        <f t="shared" si="64"/>
        <v>0</v>
      </c>
      <c r="CZ153" s="70">
        <f t="shared" si="65"/>
        <v>152350.11849656611</v>
      </c>
    </row>
    <row r="154" spans="80:104">
      <c r="CB154" s="63">
        <v>23</v>
      </c>
      <c r="CC154" s="63">
        <f>data!$I44</f>
        <v>42</v>
      </c>
      <c r="CD154" s="63">
        <f>data!$J44</f>
        <v>103</v>
      </c>
      <c r="CE154" s="70">
        <f t="shared" si="44"/>
        <v>4061.5384615384614</v>
      </c>
      <c r="CF154" s="71">
        <f t="shared" si="45"/>
        <v>1</v>
      </c>
      <c r="CG154" s="71">
        <f t="shared" si="46"/>
        <v>1</v>
      </c>
      <c r="CH154" s="72">
        <f t="shared" si="47"/>
        <v>5054.545454545455</v>
      </c>
      <c r="CI154" s="72">
        <f t="shared" si="48"/>
        <v>2366.7090909090912</v>
      </c>
      <c r="CJ154" s="72">
        <f t="shared" si="49"/>
        <v>2366.7090909090912</v>
      </c>
      <c r="CK154" s="70">
        <f t="shared" si="50"/>
        <v>418338.4615384615</v>
      </c>
      <c r="CL154" s="72">
        <f t="shared" si="51"/>
        <v>1730</v>
      </c>
      <c r="CM154" s="72">
        <f t="shared" si="52"/>
        <v>695.4545454545455</v>
      </c>
      <c r="CN154" s="72">
        <f t="shared" si="53"/>
        <v>695.4545454545455</v>
      </c>
      <c r="CO154" s="45">
        <f t="shared" si="54"/>
        <v>2.921702574881766</v>
      </c>
      <c r="CP154" s="45">
        <f t="shared" si="55"/>
        <v>3.4031111111111114</v>
      </c>
      <c r="CQ154" s="45">
        <f t="shared" si="56"/>
        <v>3.4031111111111114</v>
      </c>
      <c r="CR154" s="45">
        <f t="shared" si="57"/>
        <v>0</v>
      </c>
      <c r="CS154" s="45">
        <f t="shared" si="58"/>
        <v>0</v>
      </c>
      <c r="CT154" s="45">
        <f t="shared" si="59"/>
        <v>3.2265283350147325</v>
      </c>
      <c r="CU154" s="45">
        <f t="shared" si="60"/>
        <v>0</v>
      </c>
      <c r="CV154" s="72">
        <f t="shared" si="61"/>
        <v>0</v>
      </c>
      <c r="CW154" s="72">
        <f t="shared" si="62"/>
        <v>0</v>
      </c>
      <c r="CX154" s="72">
        <f t="shared" si="63"/>
        <v>1258.7952250293554</v>
      </c>
      <c r="CY154" s="72">
        <f t="shared" si="64"/>
        <v>0</v>
      </c>
      <c r="CZ154" s="70">
        <f t="shared" si="65"/>
        <v>129655.9081780236</v>
      </c>
    </row>
    <row r="155" spans="80:104">
      <c r="CB155" s="63">
        <v>24</v>
      </c>
      <c r="CC155" s="63">
        <f>data!$I45</f>
        <v>43</v>
      </c>
      <c r="CD155" s="63">
        <f>data!$J45</f>
        <v>73</v>
      </c>
      <c r="CE155" s="70">
        <f t="shared" si="44"/>
        <v>4246.1538461538457</v>
      </c>
      <c r="CF155" s="71">
        <f t="shared" si="45"/>
        <v>1</v>
      </c>
      <c r="CG155" s="71">
        <f t="shared" si="46"/>
        <v>1</v>
      </c>
      <c r="CH155" s="72">
        <f t="shared" si="47"/>
        <v>4990.909090909091</v>
      </c>
      <c r="CI155" s="72">
        <f t="shared" si="48"/>
        <v>2333.3818181818183</v>
      </c>
      <c r="CJ155" s="72">
        <f t="shared" si="49"/>
        <v>2333.3818181818183</v>
      </c>
      <c r="CK155" s="70">
        <f t="shared" si="50"/>
        <v>309969.23076923075</v>
      </c>
      <c r="CL155" s="72">
        <f t="shared" si="51"/>
        <v>1760</v>
      </c>
      <c r="CM155" s="72">
        <f t="shared" si="52"/>
        <v>709.09090909090912</v>
      </c>
      <c r="CN155" s="72">
        <f t="shared" si="53"/>
        <v>709.09090909090912</v>
      </c>
      <c r="CO155" s="45">
        <f t="shared" si="54"/>
        <v>2.8357438016528924</v>
      </c>
      <c r="CP155" s="45">
        <f t="shared" si="55"/>
        <v>3.2906666666666666</v>
      </c>
      <c r="CQ155" s="45">
        <f t="shared" si="56"/>
        <v>3.2906666666666666</v>
      </c>
      <c r="CR155" s="45">
        <f t="shared" si="57"/>
        <v>0</v>
      </c>
      <c r="CS155" s="45">
        <f t="shared" si="58"/>
        <v>0</v>
      </c>
      <c r="CT155" s="45">
        <f t="shared" si="59"/>
        <v>3.068544899909698</v>
      </c>
      <c r="CU155" s="45">
        <f t="shared" si="60"/>
        <v>0</v>
      </c>
      <c r="CV155" s="72">
        <f t="shared" si="61"/>
        <v>0</v>
      </c>
      <c r="CW155" s="72">
        <f t="shared" si="62"/>
        <v>0</v>
      </c>
      <c r="CX155" s="72">
        <f t="shared" si="63"/>
        <v>1383.7678719574228</v>
      </c>
      <c r="CY155" s="72">
        <f t="shared" si="64"/>
        <v>0</v>
      </c>
      <c r="CZ155" s="70">
        <f t="shared" si="65"/>
        <v>101015.05465289186</v>
      </c>
    </row>
    <row r="156" spans="80:104">
      <c r="CB156" s="63">
        <v>25</v>
      </c>
      <c r="CC156" s="63">
        <f>data!$I46</f>
        <v>44</v>
      </c>
      <c r="CD156" s="63">
        <f>data!$J46</f>
        <v>47</v>
      </c>
      <c r="CE156" s="70">
        <f t="shared" si="44"/>
        <v>4430.7692307692305</v>
      </c>
      <c r="CF156" s="71">
        <f t="shared" si="45"/>
        <v>1</v>
      </c>
      <c r="CG156" s="71">
        <f t="shared" si="46"/>
        <v>1</v>
      </c>
      <c r="CH156" s="72">
        <f t="shared" si="47"/>
        <v>4927.272727272727</v>
      </c>
      <c r="CI156" s="72">
        <f t="shared" si="48"/>
        <v>2300.0545454545454</v>
      </c>
      <c r="CJ156" s="72">
        <f t="shared" si="49"/>
        <v>2300.0545454545454</v>
      </c>
      <c r="CK156" s="70">
        <f t="shared" si="50"/>
        <v>208246.15384615384</v>
      </c>
      <c r="CL156" s="72">
        <f t="shared" si="51"/>
        <v>1790</v>
      </c>
      <c r="CM156" s="72">
        <f t="shared" si="52"/>
        <v>722.72727272727275</v>
      </c>
      <c r="CN156" s="72">
        <f t="shared" si="53"/>
        <v>722.72727272727275</v>
      </c>
      <c r="CO156" s="45">
        <f t="shared" si="54"/>
        <v>2.7526663280853225</v>
      </c>
      <c r="CP156" s="45">
        <f t="shared" si="55"/>
        <v>3.1824654088050313</v>
      </c>
      <c r="CQ156" s="45">
        <f t="shared" si="56"/>
        <v>3.1824654088050313</v>
      </c>
      <c r="CR156" s="45">
        <f t="shared" si="57"/>
        <v>0</v>
      </c>
      <c r="CS156" s="45">
        <f t="shared" si="58"/>
        <v>0</v>
      </c>
      <c r="CT156" s="45">
        <f t="shared" si="59"/>
        <v>2.9105614648046636</v>
      </c>
      <c r="CU156" s="45">
        <f t="shared" si="60"/>
        <v>0</v>
      </c>
      <c r="CV156" s="72">
        <f t="shared" si="61"/>
        <v>0</v>
      </c>
      <c r="CW156" s="72">
        <f t="shared" si="62"/>
        <v>0</v>
      </c>
      <c r="CX156" s="72">
        <f t="shared" si="63"/>
        <v>1522.3073913220358</v>
      </c>
      <c r="CY156" s="72">
        <f t="shared" si="64"/>
        <v>0</v>
      </c>
      <c r="CZ156" s="70">
        <f t="shared" si="65"/>
        <v>71548.447392135684</v>
      </c>
    </row>
    <row r="157" spans="80:104">
      <c r="CB157" s="63">
        <v>26</v>
      </c>
      <c r="CC157" s="63">
        <f>data!$I47</f>
        <v>45</v>
      </c>
      <c r="CD157" s="63">
        <f>data!$J47</f>
        <v>24</v>
      </c>
      <c r="CE157" s="70">
        <f t="shared" si="44"/>
        <v>4615.3846153846152</v>
      </c>
      <c r="CF157" s="71">
        <f t="shared" si="45"/>
        <v>1</v>
      </c>
      <c r="CG157" s="71">
        <f t="shared" si="46"/>
        <v>1</v>
      </c>
      <c r="CH157" s="72">
        <f t="shared" si="47"/>
        <v>4863.636363636364</v>
      </c>
      <c r="CI157" s="72">
        <f t="shared" si="48"/>
        <v>2266.727272727273</v>
      </c>
      <c r="CJ157" s="72">
        <f t="shared" si="49"/>
        <v>2266.727272727273</v>
      </c>
      <c r="CK157" s="70">
        <f t="shared" si="50"/>
        <v>110769.23076923077</v>
      </c>
      <c r="CL157" s="72">
        <f t="shared" si="51"/>
        <v>1820</v>
      </c>
      <c r="CM157" s="72">
        <f t="shared" si="52"/>
        <v>736.36363636363637</v>
      </c>
      <c r="CN157" s="72">
        <f t="shared" si="53"/>
        <v>736.36363636363637</v>
      </c>
      <c r="CO157" s="45">
        <f t="shared" si="54"/>
        <v>2.6723276723276723</v>
      </c>
      <c r="CP157" s="45">
        <f t="shared" si="55"/>
        <v>3.0782716049382719</v>
      </c>
      <c r="CQ157" s="45">
        <f t="shared" si="56"/>
        <v>3.0782716049382719</v>
      </c>
      <c r="CR157" s="45">
        <f t="shared" si="57"/>
        <v>0</v>
      </c>
      <c r="CS157" s="45">
        <f t="shared" si="58"/>
        <v>0</v>
      </c>
      <c r="CT157" s="45">
        <f t="shared" si="59"/>
        <v>2.7525780296996292</v>
      </c>
      <c r="CU157" s="45">
        <f t="shared" si="60"/>
        <v>0</v>
      </c>
      <c r="CV157" s="72">
        <f t="shared" si="61"/>
        <v>0</v>
      </c>
      <c r="CW157" s="72">
        <f t="shared" si="62"/>
        <v>0</v>
      </c>
      <c r="CX157" s="72">
        <f t="shared" si="63"/>
        <v>1676.7497835068682</v>
      </c>
      <c r="CY157" s="72">
        <f t="shared" si="64"/>
        <v>0</v>
      </c>
      <c r="CZ157" s="70">
        <f t="shared" si="65"/>
        <v>40241.994804164839</v>
      </c>
    </row>
    <row r="158" spans="80:104">
      <c r="CB158" s="63">
        <v>27</v>
      </c>
      <c r="CC158" s="63">
        <f>data!$I48</f>
        <v>46</v>
      </c>
      <c r="CD158" s="63">
        <f>data!$J48</f>
        <v>6</v>
      </c>
      <c r="CE158" s="70">
        <f t="shared" si="44"/>
        <v>4800</v>
      </c>
      <c r="CF158" s="71">
        <f t="shared" si="45"/>
        <v>1</v>
      </c>
      <c r="CG158" s="71">
        <f t="shared" si="46"/>
        <v>1</v>
      </c>
      <c r="CH158" s="72">
        <f t="shared" si="47"/>
        <v>4800</v>
      </c>
      <c r="CI158" s="72">
        <f t="shared" si="48"/>
        <v>2233.4</v>
      </c>
      <c r="CJ158" s="72">
        <f t="shared" si="49"/>
        <v>2233.4</v>
      </c>
      <c r="CK158" s="70">
        <f t="shared" si="50"/>
        <v>28800</v>
      </c>
      <c r="CL158" s="72">
        <f t="shared" si="51"/>
        <v>1850</v>
      </c>
      <c r="CM158" s="72">
        <f t="shared" si="52"/>
        <v>750</v>
      </c>
      <c r="CN158" s="72">
        <f t="shared" si="53"/>
        <v>750</v>
      </c>
      <c r="CO158" s="45">
        <f t="shared" si="54"/>
        <v>2.5945945945945947</v>
      </c>
      <c r="CP158" s="45">
        <f t="shared" si="55"/>
        <v>2.9778666666666669</v>
      </c>
      <c r="CQ158" s="45">
        <f t="shared" si="56"/>
        <v>2.9778666666666669</v>
      </c>
      <c r="CR158" s="45">
        <f t="shared" si="57"/>
        <v>0</v>
      </c>
      <c r="CS158" s="45">
        <f t="shared" si="58"/>
        <v>0</v>
      </c>
      <c r="CT158" s="45">
        <f t="shared" si="59"/>
        <v>2.5945945945945947</v>
      </c>
      <c r="CU158" s="45">
        <f t="shared" si="60"/>
        <v>0</v>
      </c>
      <c r="CV158" s="72">
        <f t="shared" si="61"/>
        <v>0</v>
      </c>
      <c r="CW158" s="72">
        <f t="shared" si="62"/>
        <v>0</v>
      </c>
      <c r="CX158" s="72">
        <f t="shared" si="63"/>
        <v>1850</v>
      </c>
      <c r="CY158" s="72">
        <f t="shared" si="64"/>
        <v>0</v>
      </c>
      <c r="CZ158" s="70">
        <f t="shared" si="65"/>
        <v>11100</v>
      </c>
    </row>
    <row r="159" spans="80:104">
      <c r="CB159" s="63">
        <v>28</v>
      </c>
      <c r="CC159" s="63">
        <f>data!$I49</f>
        <v>47</v>
      </c>
      <c r="CD159" s="63">
        <f>data!$J49</f>
        <v>0</v>
      </c>
      <c r="CE159" s="70">
        <f t="shared" si="44"/>
        <v>4984.6153846153848</v>
      </c>
      <c r="CF159" s="71">
        <f t="shared" si="45"/>
        <v>1</v>
      </c>
      <c r="CG159" s="71">
        <f t="shared" si="46"/>
        <v>1</v>
      </c>
      <c r="CH159" s="72">
        <f t="shared" si="47"/>
        <v>4736.363636363636</v>
      </c>
      <c r="CI159" s="72">
        <f t="shared" si="48"/>
        <v>2200.0727272727272</v>
      </c>
      <c r="CJ159" s="72">
        <f t="shared" si="49"/>
        <v>2200.0727272727272</v>
      </c>
      <c r="CK159" s="70">
        <f t="shared" si="50"/>
        <v>0</v>
      </c>
      <c r="CL159" s="72">
        <f t="shared" si="51"/>
        <v>1880</v>
      </c>
      <c r="CM159" s="72">
        <f t="shared" si="52"/>
        <v>763.63636363636363</v>
      </c>
      <c r="CN159" s="72">
        <f t="shared" si="53"/>
        <v>763.63636363636363</v>
      </c>
      <c r="CO159" s="45">
        <f t="shared" si="54"/>
        <v>2.5193423597678914</v>
      </c>
      <c r="CP159" s="45">
        <f t="shared" si="55"/>
        <v>2.8810476190476191</v>
      </c>
      <c r="CQ159" s="45">
        <f t="shared" si="56"/>
        <v>2.8810476190476191</v>
      </c>
      <c r="CR159" s="45">
        <f t="shared" si="57"/>
        <v>0</v>
      </c>
      <c r="CS159" s="45">
        <f t="shared" si="58"/>
        <v>0</v>
      </c>
      <c r="CT159" s="45">
        <f t="shared" si="59"/>
        <v>0</v>
      </c>
      <c r="CU159" s="45">
        <f t="shared" si="60"/>
        <v>2.5193423597678914</v>
      </c>
      <c r="CV159" s="72">
        <f t="shared" si="61"/>
        <v>0</v>
      </c>
      <c r="CW159" s="72">
        <f t="shared" si="62"/>
        <v>0</v>
      </c>
      <c r="CX159" s="72">
        <f t="shared" si="63"/>
        <v>0</v>
      </c>
      <c r="CY159" s="72">
        <f t="shared" si="64"/>
        <v>1880</v>
      </c>
      <c r="CZ159" s="70">
        <f t="shared" si="65"/>
        <v>0</v>
      </c>
    </row>
    <row r="160" spans="80:104">
      <c r="CB160" s="63">
        <v>29</v>
      </c>
      <c r="CC160" s="63">
        <f>data!$I50</f>
        <v>48</v>
      </c>
      <c r="CD160" s="63">
        <f>data!$J50</f>
        <v>0</v>
      </c>
      <c r="CE160" s="70">
        <f t="shared" si="44"/>
        <v>5169.2307692307695</v>
      </c>
      <c r="CF160" s="71">
        <f t="shared" si="45"/>
        <v>1</v>
      </c>
      <c r="CG160" s="71">
        <f t="shared" si="46"/>
        <v>1</v>
      </c>
      <c r="CH160" s="72">
        <f t="shared" si="47"/>
        <v>4672.727272727273</v>
      </c>
      <c r="CI160" s="72">
        <f t="shared" si="48"/>
        <v>2166.7454545454548</v>
      </c>
      <c r="CJ160" s="72">
        <f t="shared" si="49"/>
        <v>2166.7454545454548</v>
      </c>
      <c r="CK160" s="70">
        <f t="shared" si="50"/>
        <v>0</v>
      </c>
      <c r="CL160" s="72">
        <f t="shared" si="51"/>
        <v>1910</v>
      </c>
      <c r="CM160" s="72">
        <f t="shared" si="52"/>
        <v>777.27272727272725</v>
      </c>
      <c r="CN160" s="72">
        <f t="shared" si="53"/>
        <v>777.27272727272725</v>
      </c>
      <c r="CO160" s="45">
        <f t="shared" si="54"/>
        <v>2.4464540694907186</v>
      </c>
      <c r="CP160" s="45">
        <f t="shared" si="55"/>
        <v>2.7876257309941526</v>
      </c>
      <c r="CQ160" s="45">
        <f t="shared" si="56"/>
        <v>2.7876257309941526</v>
      </c>
      <c r="CR160" s="45">
        <f t="shared" si="57"/>
        <v>0</v>
      </c>
      <c r="CS160" s="45">
        <f t="shared" si="58"/>
        <v>0</v>
      </c>
      <c r="CT160" s="45">
        <f t="shared" si="59"/>
        <v>0</v>
      </c>
      <c r="CU160" s="45">
        <f t="shared" si="60"/>
        <v>2.4464540694907186</v>
      </c>
      <c r="CV160" s="72">
        <f t="shared" si="61"/>
        <v>0</v>
      </c>
      <c r="CW160" s="72">
        <f t="shared" si="62"/>
        <v>0</v>
      </c>
      <c r="CX160" s="72">
        <f t="shared" si="63"/>
        <v>0</v>
      </c>
      <c r="CY160" s="72">
        <f t="shared" si="64"/>
        <v>1910.0000000000002</v>
      </c>
      <c r="CZ160" s="70">
        <f t="shared" si="65"/>
        <v>0</v>
      </c>
    </row>
    <row r="161" spans="79:104">
      <c r="CB161" s="63">
        <v>30</v>
      </c>
      <c r="CC161" s="63">
        <f>data!$I51</f>
        <v>49</v>
      </c>
      <c r="CD161" s="63">
        <f>data!$J51</f>
        <v>0</v>
      </c>
      <c r="CE161" s="70">
        <f t="shared" si="44"/>
        <v>5353.8461538461543</v>
      </c>
      <c r="CF161" s="71">
        <f t="shared" si="45"/>
        <v>1</v>
      </c>
      <c r="CG161" s="71">
        <f t="shared" si="46"/>
        <v>1</v>
      </c>
      <c r="CH161" s="72">
        <f t="shared" si="47"/>
        <v>4609.090909090909</v>
      </c>
      <c r="CI161" s="72">
        <f t="shared" si="48"/>
        <v>2133.4181818181819</v>
      </c>
      <c r="CJ161" s="72">
        <f t="shared" si="49"/>
        <v>2133.4181818181819</v>
      </c>
      <c r="CK161" s="70">
        <f t="shared" si="50"/>
        <v>0</v>
      </c>
      <c r="CL161" s="72">
        <f t="shared" si="51"/>
        <v>1940</v>
      </c>
      <c r="CM161" s="72">
        <f t="shared" si="52"/>
        <v>790.90909090909088</v>
      </c>
      <c r="CN161" s="72">
        <f t="shared" si="53"/>
        <v>790.90909090909088</v>
      </c>
      <c r="CO161" s="45">
        <f t="shared" si="54"/>
        <v>2.3758200562324272</v>
      </c>
      <c r="CP161" s="45">
        <f t="shared" si="55"/>
        <v>2.6974252873563223</v>
      </c>
      <c r="CQ161" s="45">
        <f t="shared" si="56"/>
        <v>2.6974252873563223</v>
      </c>
      <c r="CR161" s="45">
        <f t="shared" si="57"/>
        <v>0</v>
      </c>
      <c r="CS161" s="45">
        <f t="shared" si="58"/>
        <v>0</v>
      </c>
      <c r="CT161" s="45">
        <f t="shared" si="59"/>
        <v>0</v>
      </c>
      <c r="CU161" s="45">
        <f t="shared" si="60"/>
        <v>2.3758200562324272</v>
      </c>
      <c r="CV161" s="72">
        <f t="shared" si="61"/>
        <v>0</v>
      </c>
      <c r="CW161" s="72">
        <f t="shared" si="62"/>
        <v>0</v>
      </c>
      <c r="CX161" s="72">
        <f t="shared" si="63"/>
        <v>0</v>
      </c>
      <c r="CY161" s="72">
        <f t="shared" si="64"/>
        <v>1940</v>
      </c>
      <c r="CZ161" s="70">
        <f t="shared" si="65"/>
        <v>0</v>
      </c>
    </row>
    <row r="162" spans="79:104">
      <c r="CB162" s="63">
        <v>31</v>
      </c>
      <c r="CC162" s="63">
        <f>data!$I52</f>
        <v>50</v>
      </c>
      <c r="CD162" s="63">
        <f>data!$J52</f>
        <v>0</v>
      </c>
      <c r="CE162" s="70">
        <f t="shared" si="44"/>
        <v>5538.4615384615381</v>
      </c>
      <c r="CF162" s="71">
        <f t="shared" si="45"/>
        <v>1</v>
      </c>
      <c r="CG162" s="71">
        <f t="shared" si="46"/>
        <v>1</v>
      </c>
      <c r="CH162" s="72">
        <f t="shared" si="47"/>
        <v>4545.454545454545</v>
      </c>
      <c r="CI162" s="72">
        <f t="shared" si="48"/>
        <v>2100.090909090909</v>
      </c>
      <c r="CJ162" s="72">
        <f t="shared" si="49"/>
        <v>2100.090909090909</v>
      </c>
      <c r="CK162" s="70">
        <f t="shared" si="50"/>
        <v>0</v>
      </c>
      <c r="CL162" s="72">
        <f t="shared" si="51"/>
        <v>1970</v>
      </c>
      <c r="CM162" s="72">
        <f t="shared" si="52"/>
        <v>804.5454545454545</v>
      </c>
      <c r="CN162" s="72">
        <f t="shared" si="53"/>
        <v>804.5454545454545</v>
      </c>
      <c r="CO162" s="45">
        <f t="shared" si="54"/>
        <v>2.3073373327180433</v>
      </c>
      <c r="CP162" s="45">
        <f t="shared" si="55"/>
        <v>2.6102824858757061</v>
      </c>
      <c r="CQ162" s="45">
        <f t="shared" si="56"/>
        <v>2.6102824858757061</v>
      </c>
      <c r="CR162" s="45">
        <f t="shared" si="57"/>
        <v>0</v>
      </c>
      <c r="CS162" s="45">
        <f t="shared" si="58"/>
        <v>0</v>
      </c>
      <c r="CT162" s="45">
        <f t="shared" si="59"/>
        <v>0</v>
      </c>
      <c r="CU162" s="45">
        <f t="shared" si="60"/>
        <v>2.3073373327180433</v>
      </c>
      <c r="CV162" s="72">
        <f t="shared" si="61"/>
        <v>0</v>
      </c>
      <c r="CW162" s="72">
        <f t="shared" si="62"/>
        <v>0</v>
      </c>
      <c r="CX162" s="72">
        <f t="shared" si="63"/>
        <v>0</v>
      </c>
      <c r="CY162" s="72">
        <f t="shared" si="64"/>
        <v>1969.9999999999998</v>
      </c>
      <c r="CZ162" s="70">
        <f t="shared" si="65"/>
        <v>0</v>
      </c>
    </row>
    <row r="163" spans="79:104">
      <c r="CB163" s="63"/>
      <c r="CC163" s="63"/>
      <c r="CD163" s="63">
        <f>SUM(CD132:CD162)</f>
        <v>6493</v>
      </c>
      <c r="CE163" s="63"/>
      <c r="CF163" s="63"/>
      <c r="CG163" s="63"/>
      <c r="CH163" s="63"/>
      <c r="CI163" s="63"/>
      <c r="CK163" s="62">
        <f>SUM(CK132:CK162)</f>
        <v>12655753.846153848</v>
      </c>
      <c r="CM163" s="44"/>
      <c r="CN163" s="44"/>
      <c r="CO163" s="44"/>
      <c r="CP163" s="44"/>
      <c r="CQ163" s="44"/>
      <c r="CR163" s="44"/>
      <c r="CS163" s="44"/>
      <c r="CT163" s="44"/>
      <c r="CU163" s="44"/>
      <c r="CV163" s="68"/>
      <c r="CW163" s="68"/>
      <c r="CX163" s="68"/>
      <c r="CZ163" s="77">
        <f>SUM(CZ132:CZ162)</f>
        <v>3094744.6450295118</v>
      </c>
    </row>
    <row r="170" spans="79:104">
      <c r="CA170" s="28" t="s">
        <v>69</v>
      </c>
      <c r="CF170" s="29" t="str">
        <f>data!$K$7</f>
        <v>CUSTOM</v>
      </c>
      <c r="CQ170" s="30"/>
    </row>
    <row r="171" spans="79:104">
      <c r="CA171" s="28"/>
      <c r="CQ171" s="30"/>
    </row>
    <row r="172" spans="79:104">
      <c r="CA172" s="28"/>
      <c r="CB172" s="37" t="s">
        <v>177</v>
      </c>
      <c r="CC172" s="38">
        <f>'Variable Capacity unit'!$H$33</f>
        <v>4800</v>
      </c>
      <c r="CD172" s="39"/>
      <c r="CE172" s="40" t="s">
        <v>0</v>
      </c>
      <c r="CF172" s="41">
        <f>$CK$223/$CZ$223</f>
        <v>4.0894339591088169</v>
      </c>
      <c r="CO172" s="42"/>
      <c r="CQ172" s="43"/>
    </row>
    <row r="173" spans="79:104">
      <c r="CA173" s="28"/>
      <c r="CQ173" s="43"/>
    </row>
    <row r="174" spans="79:104" ht="15">
      <c r="CA174" s="28"/>
      <c r="CC174" s="44" t="s">
        <v>199</v>
      </c>
      <c r="CD174" s="44" t="s">
        <v>186</v>
      </c>
      <c r="CE174" s="44" t="s">
        <v>187</v>
      </c>
      <c r="CG174" s="44" t="s">
        <v>19</v>
      </c>
      <c r="CH174" s="44">
        <f>data!$K$14</f>
        <v>0.27</v>
      </c>
      <c r="CJ174" s="29" t="s">
        <v>188</v>
      </c>
    </row>
    <row r="175" spans="79:104" ht="15">
      <c r="CA175" s="28"/>
      <c r="CB175" s="51" t="s">
        <v>18</v>
      </c>
      <c r="CC175" s="52">
        <f>'Variable Capacity unit'!$H$33</f>
        <v>4800</v>
      </c>
      <c r="CD175" s="52">
        <f>IF('Variable Capacity unit'!$BD$32="Required test",$CD$180*$CH$177,IF('Variable Capacity unit'!$BD$39="Default",$CD$180*$CH$177,'Variable Capacity unit'!$H$34))</f>
        <v>2233.4</v>
      </c>
      <c r="CE175" s="52">
        <f>IF('Variable Capacity unit'!$BD$32="Required test",$CD$175,IF('Variable Capacity unit'!$BD$36="Not Measure",$CD$175,IF('Variable Capacity unit'!$BD$40="Default",$CE$180*$CH$177,'Variable Capacity unit'!$H$35)))</f>
        <v>2233.4</v>
      </c>
      <c r="CG175" s="40" t="s">
        <v>189</v>
      </c>
      <c r="CH175" s="44">
        <f>data!$K$15</f>
        <v>1.077</v>
      </c>
      <c r="CJ175" s="44" t="s">
        <v>137</v>
      </c>
      <c r="CK175" s="45">
        <f>(6*$CC$172*$CH$179+6*$CC$180*($CH$180-$CH$179)+35*($CC$185-$CC$180)*($CH$180-$CH$179))/(6*$CC$172+($CC$185-$CC$180)*($CH$180-$CH$179))</f>
        <v>45.700560146693128</v>
      </c>
      <c r="CM175" s="44" t="s">
        <v>138</v>
      </c>
      <c r="CN175" s="45">
        <f>($CE$180+($CE$185-$CE$180)/(35-29)*(35-$CH$179))/($CE$181+($CE$186-$CE$181)/(35-29)*(35-$CH$179))</f>
        <v>6.5828025477707008</v>
      </c>
    </row>
    <row r="176" spans="79:104" ht="15">
      <c r="CA176" s="28"/>
      <c r="CB176" s="51" t="s">
        <v>83</v>
      </c>
      <c r="CC176" s="52">
        <f>'Variable Capacity unit'!$L$33</f>
        <v>1850</v>
      </c>
      <c r="CD176" s="52">
        <f>IF('Variable Capacity unit'!$BD$32="Required test",$CD$181*$CH$178,IF('Variable Capacity unit'!$BD$39="Default",$CD$181*$CH$178,'Variable Capacity unit'!$L$34))</f>
        <v>750</v>
      </c>
      <c r="CE176" s="52">
        <f>IF('Variable Capacity unit'!$BD$32="Required test",$CD$176,IF('Variable Capacity unit'!$BD$36="Not Measure",$CD$176,IF('Variable Capacity unit'!$BD$40="Default",$CE$181*$CH$178,'Variable Capacity unit'!$L$35)))</f>
        <v>750</v>
      </c>
      <c r="CG176" s="40" t="s">
        <v>190</v>
      </c>
      <c r="CH176" s="44">
        <f>data!$K$16</f>
        <v>0.91400000000000003</v>
      </c>
      <c r="CJ176" s="44" t="s">
        <v>140</v>
      </c>
      <c r="CK176" s="45">
        <f>((35-29)*$CC$172*$CH$179+(35-29)*$CD$180*($CH$180-$CH$179)+35*($CD$185-$CD$180)*($CH$180-$CH$179))/((35-29)*$CC$172+($CD$185-$CD$180)*($CH$180-$CH$179))</f>
        <v>34.223648147930312</v>
      </c>
      <c r="CM176" s="44" t="s">
        <v>141</v>
      </c>
      <c r="CN176" s="45">
        <f>($CC$180+($CC$185-$CC$180)/(35-29)*(35-$CK$175))/($CC$181+($CC$186-$CC$181)/(35-29)*(35-$CK$175))</f>
        <v>2.7064279598314118</v>
      </c>
    </row>
    <row r="177" spans="79:104" ht="15">
      <c r="CA177" s="28"/>
      <c r="CB177" s="44" t="s">
        <v>152</v>
      </c>
      <c r="CC177" s="61">
        <f>$CC$175/$CC$176</f>
        <v>2.5945945945945947</v>
      </c>
      <c r="CD177" s="61">
        <f>$CD$175/$CD$176</f>
        <v>2.9778666666666669</v>
      </c>
      <c r="CE177" s="61">
        <f>$CE$175/$CE$176</f>
        <v>2.9778666666666669</v>
      </c>
      <c r="CG177" s="40" t="s">
        <v>191</v>
      </c>
      <c r="CH177" s="44">
        <f>data!$K$17</f>
        <v>0.85899999999999999</v>
      </c>
      <c r="CJ177" s="44" t="s">
        <v>143</v>
      </c>
      <c r="CK177" s="45">
        <f>((35-29)*$CC$172*$CH$179+(35-29)*$CE$180*($CH$180-$CH$179)+35*($CE$185-$CE$180)*($CH$180-$CH$179))/((35-29)*$CC$172+($CE$185-$CE$180)*($CH$180-$CH$179))</f>
        <v>34.223648147930312</v>
      </c>
      <c r="CM177" s="44" t="s">
        <v>144</v>
      </c>
      <c r="CN177" s="45">
        <f>($CD$180+($CD$185-$CD$180)/(35-29)*(35-$CK$176))/($CD$181+($CD$186-$CD$181)/(35-29)*(35-$CK$176))</f>
        <v>4.4257556472813357</v>
      </c>
    </row>
    <row r="178" spans="79:104">
      <c r="CA178" s="28"/>
      <c r="CB178" s="44"/>
      <c r="CG178" s="40" t="s">
        <v>192</v>
      </c>
      <c r="CH178" s="44">
        <f>data!$K$18</f>
        <v>1.25</v>
      </c>
      <c r="CJ178" s="44"/>
      <c r="CK178" s="62"/>
      <c r="CL178" s="62"/>
      <c r="CM178" s="44" t="s">
        <v>147</v>
      </c>
      <c r="CN178" s="45">
        <f>($CE$180+($CE$185-$CE$180)/(35-29)*(35-$CK$177))/($CE$181+($CE$186-$CE$181)/(35-29)*(35-$CK$177))</f>
        <v>4.4257556472813357</v>
      </c>
      <c r="CQ178" s="44"/>
    </row>
    <row r="179" spans="79:104" ht="15">
      <c r="CA179" s="28"/>
      <c r="CB179" s="44"/>
      <c r="CC179" s="44" t="s">
        <v>134</v>
      </c>
      <c r="CD179" s="44" t="s">
        <v>135</v>
      </c>
      <c r="CE179" s="44" t="s">
        <v>136</v>
      </c>
      <c r="CG179" s="44" t="s">
        <v>146</v>
      </c>
      <c r="CH179" s="44">
        <f>data!$K$11</f>
        <v>20</v>
      </c>
    </row>
    <row r="180" spans="79:104" ht="15">
      <c r="CA180" s="28"/>
      <c r="CB180" s="51" t="s">
        <v>18</v>
      </c>
      <c r="CC180" s="52">
        <f>'Variable Capacity unit'!$H$39</f>
        <v>5500</v>
      </c>
      <c r="CD180" s="52">
        <f>'Variable Capacity unit'!$H$40</f>
        <v>2600</v>
      </c>
      <c r="CE180" s="52">
        <f>IF('Variable Capacity unit'!$BD$32="Required test",$CD$180,IF('Variable Capacity unit'!$BD$36="Not Measure",$CD$180,IF('Variable Capacity unit'!$BD$43="Default",$CD$180,'Variable Capacity unit'!$H$41)))</f>
        <v>2600</v>
      </c>
      <c r="CG180" s="44" t="s">
        <v>148</v>
      </c>
      <c r="CH180" s="44">
        <f>data!$K$12</f>
        <v>46</v>
      </c>
      <c r="CJ180" s="44"/>
      <c r="CQ180" s="44"/>
    </row>
    <row r="181" spans="79:104">
      <c r="CA181" s="28"/>
      <c r="CB181" s="51" t="s">
        <v>83</v>
      </c>
      <c r="CC181" s="52">
        <f>'Variable Capacity unit'!$L$39</f>
        <v>1520</v>
      </c>
      <c r="CD181" s="52">
        <f>'Variable Capacity unit'!$L$40</f>
        <v>600</v>
      </c>
      <c r="CE181" s="52">
        <f>IF('Variable Capacity unit'!$BD$32="Required test",$CD$181,IF('Variable Capacity unit'!$BD$36="Not Measure",$CD$181,IF('Variable Capacity unit'!$BD$43="Default",$CD$181,'Variable Capacity unit'!$L$41)))</f>
        <v>600</v>
      </c>
      <c r="CJ181" s="29" t="s">
        <v>200</v>
      </c>
    </row>
    <row r="182" spans="79:104" ht="15">
      <c r="CA182" s="28"/>
      <c r="CB182" s="44" t="s">
        <v>152</v>
      </c>
      <c r="CC182" s="61">
        <f>$CC$180/$CC$181</f>
        <v>3.6184210526315788</v>
      </c>
      <c r="CD182" s="61">
        <f>$CD$180/$CD$181</f>
        <v>4.333333333333333</v>
      </c>
      <c r="CE182" s="61">
        <f>$CE$180/$CE$181</f>
        <v>4.333333333333333</v>
      </c>
      <c r="CJ182" s="44" t="s">
        <v>201</v>
      </c>
      <c r="CK182" s="45">
        <f>(11*$CC$172*$CH$179+11*$CC$175*($CH$180-$CH$179)+46*($CC$180-$CC$175)*($CH$180-$CH$179))/(11*$CC$172+($CC$180-$CC$175)*($CH$180-$CH$179))</f>
        <v>46</v>
      </c>
      <c r="CM182" s="44" t="s">
        <v>141</v>
      </c>
      <c r="CN182" s="45">
        <f>($CC$175+($CC$180-$CC$175)/(46-35)*(46-$CK$182))/($CC$176+($CC$181-$CC$176)/(46-35)*(46-$CK$182))</f>
        <v>2.5945945945945947</v>
      </c>
    </row>
    <row r="183" spans="79:104" ht="15">
      <c r="CA183" s="28"/>
      <c r="CB183" s="44"/>
      <c r="CC183" s="44"/>
      <c r="CD183" s="44"/>
      <c r="CE183" s="63"/>
      <c r="CJ183" s="44" t="s">
        <v>140</v>
      </c>
      <c r="CK183" s="45">
        <f>((46-35)*$CC$172*$CH$179+(46-35)*$CD$175*($CH$180-$CH$179)+46*($CD$180-$CD$175)*($CH$180-$CH$179))/((46-35)*$CC$172+($CD$180-$CD$175)*($CH$180-$CH$179))</f>
        <v>34.223507819468779</v>
      </c>
      <c r="CM183" s="44" t="s">
        <v>144</v>
      </c>
      <c r="CN183" s="45">
        <f>($CD$175+($CD$180-$CD$175)/(46-35)*(46-$CK$183))/($CD$176+($CD$181-$CD$176)/(46-35)*(46-$CK$183))</f>
        <v>4.4550852827624947</v>
      </c>
    </row>
    <row r="184" spans="79:104" ht="15">
      <c r="CA184" s="28"/>
      <c r="CB184" s="44"/>
      <c r="CC184" s="44" t="s">
        <v>149</v>
      </c>
      <c r="CD184" s="44" t="s">
        <v>150</v>
      </c>
      <c r="CE184" s="44" t="s">
        <v>151</v>
      </c>
      <c r="CJ184" s="44" t="s">
        <v>143</v>
      </c>
      <c r="CK184" s="45">
        <f>((46-35)*$CC$172*$CH$179+(46-35)*$CE$175*($CH$180-$CH$179)+46*($CE$180-$CE$175)*($CH$180-$CH$179))/((46-35)*$CC$172+($CE$180-$CE$175)*($CH$180-$CH$179))</f>
        <v>34.223507819468779</v>
      </c>
      <c r="CM184" s="44" t="s">
        <v>147</v>
      </c>
      <c r="CN184" s="45">
        <f>($CE$175+($CE$180-$CE$175)/(46-35)*(46-$CK$184))/($CE$176+($CE$181-$CE$176)/(46-35)*(46-$CK$184))</f>
        <v>4.4550852827624947</v>
      </c>
    </row>
    <row r="185" spans="79:104">
      <c r="CA185" s="28"/>
      <c r="CB185" s="51" t="s">
        <v>18</v>
      </c>
      <c r="CC185" s="52">
        <f>$CC$180*$CH$175</f>
        <v>5923.5</v>
      </c>
      <c r="CD185" s="52">
        <f>IF('Variable Capacity unit'!$BD$32="Required test",$CD$180*$CH$175,IF('Variable Capacity unit'!$BD$45="Default",$CD$180*$CH$175,'Variable Capacity unit'!$H$46))</f>
        <v>2800.2</v>
      </c>
      <c r="CE185" s="52">
        <f>IF('Variable Capacity unit'!$BD$32="Required test",$CD$185,IF('Variable Capacity unit'!$BD$36="Not Measure",$CD$185,IF('Variable Capacity unit'!$BD$46="Default",$CE$180*$CH$175,'Variable Capacity unit'!$H$47)))</f>
        <v>2800.2</v>
      </c>
    </row>
    <row r="186" spans="79:104">
      <c r="CA186" s="28"/>
      <c r="CB186" s="51" t="s">
        <v>83</v>
      </c>
      <c r="CC186" s="52">
        <f>$CC$181*$CH$176</f>
        <v>1389.28</v>
      </c>
      <c r="CD186" s="52">
        <f>IF('Variable Capacity unit'!$BD$32="Required test",$CD$181*$CH$176,IF('Variable Capacity unit'!$BD$45="Default",$CD$181*$CH$176,'Variable Capacity unit'!$L$46))</f>
        <v>548.4</v>
      </c>
      <c r="CE186" s="52">
        <f>IF('Variable Capacity unit'!$BD$32="Required test",$CD$186,IF('Variable Capacity unit'!$BD$36="Not Measure",$CD$186,IF('Variable Capacity unit'!$BD$46="Default",$CE$181*$CH$176,'Variable Capacity unit'!$L$47)))</f>
        <v>548.4</v>
      </c>
    </row>
    <row r="187" spans="79:104">
      <c r="CA187" s="28"/>
      <c r="CB187" s="44" t="s">
        <v>152</v>
      </c>
      <c r="CC187" s="61">
        <f>$CC$185/$CC$186</f>
        <v>4.2637193366348036</v>
      </c>
      <c r="CD187" s="61">
        <f>$CD$185/$CD$186</f>
        <v>5.1061269146608312</v>
      </c>
      <c r="CE187" s="61">
        <f>$CE$185/$CE$186</f>
        <v>5.1061269146608312</v>
      </c>
    </row>
    <row r="188" spans="79:104">
      <c r="CA188" s="28"/>
    </row>
    <row r="189" spans="79:104">
      <c r="CA189" s="28"/>
      <c r="CB189" s="97" t="s">
        <v>5</v>
      </c>
      <c r="CC189" s="98" t="s">
        <v>7</v>
      </c>
      <c r="CD189" s="97" t="s">
        <v>8</v>
      </c>
      <c r="CE189" s="66" t="s">
        <v>9</v>
      </c>
      <c r="CF189" s="66" t="s">
        <v>10</v>
      </c>
      <c r="CG189" s="66" t="s">
        <v>20</v>
      </c>
      <c r="CH189" s="99" t="s">
        <v>11</v>
      </c>
      <c r="CI189" s="99"/>
      <c r="CJ189" s="99"/>
      <c r="CK189" s="67" t="s">
        <v>2</v>
      </c>
      <c r="CL189" s="99" t="s">
        <v>13</v>
      </c>
      <c r="CM189" s="99"/>
      <c r="CN189" s="99"/>
      <c r="CO189" s="99" t="s">
        <v>16</v>
      </c>
      <c r="CP189" s="99"/>
      <c r="CQ189" s="99"/>
      <c r="CR189" s="99" t="s">
        <v>40</v>
      </c>
      <c r="CS189" s="99"/>
      <c r="CT189" s="99"/>
      <c r="CU189" s="99"/>
      <c r="CV189" s="99" t="s">
        <v>17</v>
      </c>
      <c r="CW189" s="99"/>
      <c r="CX189" s="99"/>
      <c r="CY189" s="99"/>
      <c r="CZ189" s="67" t="s">
        <v>3</v>
      </c>
    </row>
    <row r="190" spans="79:104">
      <c r="CB190" s="97"/>
      <c r="CC190" s="98"/>
      <c r="CD190" s="97"/>
      <c r="CE190" s="67" t="s">
        <v>153</v>
      </c>
      <c r="CF190" s="96" t="s">
        <v>154</v>
      </c>
      <c r="CG190" s="96" t="s">
        <v>155</v>
      </c>
      <c r="CH190" s="68" t="s">
        <v>4</v>
      </c>
      <c r="CI190" s="68" t="s">
        <v>14</v>
      </c>
      <c r="CJ190" s="68" t="s">
        <v>12</v>
      </c>
      <c r="CK190" s="96" t="s">
        <v>195</v>
      </c>
      <c r="CL190" s="68" t="s">
        <v>4</v>
      </c>
      <c r="CM190" s="68" t="s">
        <v>14</v>
      </c>
      <c r="CN190" s="68" t="s">
        <v>12</v>
      </c>
      <c r="CO190" s="68" t="s">
        <v>4</v>
      </c>
      <c r="CP190" s="68" t="s">
        <v>14</v>
      </c>
      <c r="CQ190" s="68" t="s">
        <v>12</v>
      </c>
      <c r="CR190" s="68" t="s">
        <v>156</v>
      </c>
      <c r="CS190" s="68" t="s">
        <v>157</v>
      </c>
      <c r="CT190" s="68" t="s">
        <v>158</v>
      </c>
      <c r="CU190" s="68" t="s">
        <v>84</v>
      </c>
      <c r="CV190" s="68" t="s">
        <v>156</v>
      </c>
      <c r="CW190" s="68" t="s">
        <v>157</v>
      </c>
      <c r="CX190" s="68" t="s">
        <v>196</v>
      </c>
      <c r="CY190" s="68" t="s">
        <v>84</v>
      </c>
      <c r="CZ190" s="96" t="s">
        <v>197</v>
      </c>
    </row>
    <row r="191" spans="79:104" ht="15">
      <c r="CB191" s="63" t="s">
        <v>6</v>
      </c>
      <c r="CC191" s="63" t="s">
        <v>159</v>
      </c>
      <c r="CD191" s="63" t="s">
        <v>160</v>
      </c>
      <c r="CE191" s="68" t="s">
        <v>15</v>
      </c>
      <c r="CF191" s="99"/>
      <c r="CG191" s="99"/>
      <c r="CH191" s="67" t="s">
        <v>161</v>
      </c>
      <c r="CI191" s="67" t="s">
        <v>162</v>
      </c>
      <c r="CJ191" s="67" t="s">
        <v>163</v>
      </c>
      <c r="CK191" s="96"/>
      <c r="CL191" s="68" t="s">
        <v>164</v>
      </c>
      <c r="CM191" s="68" t="s">
        <v>165</v>
      </c>
      <c r="CN191" s="68" t="s">
        <v>166</v>
      </c>
      <c r="CO191" s="67" t="s">
        <v>167</v>
      </c>
      <c r="CP191" s="67" t="s">
        <v>168</v>
      </c>
      <c r="CQ191" s="67" t="s">
        <v>170</v>
      </c>
      <c r="CR191" s="67" t="s">
        <v>169</v>
      </c>
      <c r="CS191" s="67" t="s">
        <v>171</v>
      </c>
      <c r="CT191" s="67" t="s">
        <v>172</v>
      </c>
      <c r="CU191" s="67" t="s">
        <v>167</v>
      </c>
      <c r="CV191" s="67" t="s">
        <v>173</v>
      </c>
      <c r="CW191" s="67" t="s">
        <v>174</v>
      </c>
      <c r="CX191" s="67" t="s">
        <v>175</v>
      </c>
      <c r="CY191" s="67" t="s">
        <v>176</v>
      </c>
      <c r="CZ191" s="96"/>
    </row>
    <row r="192" spans="79:104">
      <c r="CB192" s="63">
        <v>1</v>
      </c>
      <c r="CC192" s="63">
        <f>data!$K22</f>
        <v>20</v>
      </c>
      <c r="CD192" s="63">
        <f>data!$L22</f>
        <v>0</v>
      </c>
      <c r="CE192" s="70">
        <f t="shared" ref="CE192:CE222" si="66">$CC$172*($CC192-$CH$179)/($CH$180-$CH$179)</f>
        <v>0</v>
      </c>
      <c r="CF192" s="71">
        <f t="shared" ref="CF192:CF222" si="67">1-$CH$174*(1-$CG192)</f>
        <v>0.73</v>
      </c>
      <c r="CG192" s="71">
        <f t="shared" ref="CG192:CG222" si="68">IF($CE192&lt;$CJ192,$CE192/$CJ192,1)</f>
        <v>0</v>
      </c>
      <c r="CH192" s="72">
        <f t="shared" ref="CH192:CH222" si="69">IF($CC192&lt;=35,$CC$180+($CC$185-$CC$180)/(35-29)*(35-$CC192),$CC$175+($CC$180-$CC$175)/(46-35)*(46-$CC192))</f>
        <v>6558.75</v>
      </c>
      <c r="CI192" s="72">
        <f t="shared" ref="CI192:CI222" si="70">IF($CC192&lt;=35,$CD$180+($CD$185-$CD$180)/(35-29)*(35-$CC192),$CD$175+($CD$180-$CD$175)/(46-35)*(46-$CC192))</f>
        <v>3100.4999999999995</v>
      </c>
      <c r="CJ192" s="72">
        <f t="shared" ref="CJ192:CJ222" si="71">IF($CC192&lt;=35,$CE$180+($CE$185-$CE$180)/(35-29)*(35-$CC192),$CE$175+($CE$180-$CE$175)/(46-35)*(46-$CC192))</f>
        <v>3100.4999999999995</v>
      </c>
      <c r="CK192" s="70">
        <f t="shared" ref="CK192:CK222" si="72">IF($CE192&lt;$CH192,$CE192*$CD192,$CH192*$CD192)</f>
        <v>0</v>
      </c>
      <c r="CL192" s="72">
        <f t="shared" ref="CL192:CL222" si="73">IF($CC192&lt;=35,$CC$181+($CC$186-$CC$181)/(35-29)*(35-$CC192),$CC$176+($CC$181-$CC$176)/(46-35)*(46-$CC192))</f>
        <v>1193.1999999999998</v>
      </c>
      <c r="CM192" s="72">
        <f t="shared" ref="CM192:CM222" si="74">IF($CC192&lt;=35,$CD$181+($CD$186-$CD$181)/(35-29)*(35-$CC192),$CD$176+($CD$181-$CD$176)/(46-35)*(46-$CC192))</f>
        <v>470.99999999999994</v>
      </c>
      <c r="CN192" s="72">
        <f t="shared" ref="CN192:CN222" si="75">IF($CC192&lt;=35,$CE$181+(($CE$186-$CE$181)/(35-29)*(35-$CC192)),($CE$176+($CE$181-$CE$176)/(46-35)*(46-$CC192)))</f>
        <v>470.99999999999994</v>
      </c>
      <c r="CO192" s="45">
        <f t="shared" ref="CO192:CO222" si="76">$CH192/$CL192</f>
        <v>5.4967733825008391</v>
      </c>
      <c r="CP192" s="45">
        <f t="shared" ref="CP192:CP222" si="77">$CI192/$CM192</f>
        <v>6.5828025477707008</v>
      </c>
      <c r="CQ192" s="45">
        <f t="shared" ref="CQ192:CQ222" si="78">$CJ192/$CN192</f>
        <v>6.5828025477707008</v>
      </c>
      <c r="CR192" s="45">
        <f t="shared" ref="CR192:CR222" si="79">IF($CJ192&gt;$CE192,$CJ192/$CN192,0)</f>
        <v>6.5828025477707008</v>
      </c>
      <c r="CS192" s="45">
        <f t="shared" ref="CS192:CS222" si="80">IF(AND($CJ192&lt;$CE192,$CE192&lt;=$CI192),IF($CC192&lt;=35,$CN$178+($CN$177-$CN$178)/($CK$176-$CK$177)*($CC192-$CK$177),$CN$184+($CN$183-$CN$184)/($CK$183-$CK$184)*($CC192-$CK$184)),0)</f>
        <v>0</v>
      </c>
      <c r="CT192" s="45">
        <f t="shared" ref="CT192:CT222" si="81">IF(AND($CI192&lt;$CE192,$CE192&lt;=$CH192),IF($CC192&lt;=35,$CN$177+($CN$176-$CN$177)/($CK$175-$CK$176)*($CC192-$CK$176),$CN$183+($CN$182-$CN$183)/($CK$182-$CK$183)*($CC192-$CK$183)),0)</f>
        <v>0</v>
      </c>
      <c r="CU192" s="45">
        <f t="shared" ref="CU192:CU222" si="82">IF($CE192&gt;$CH192,$CH192/$CL192,0)</f>
        <v>0</v>
      </c>
      <c r="CV192" s="72">
        <f t="shared" ref="CV192:CV222" si="83">IF($CJ192&gt;=$CE192,$CN192,0)</f>
        <v>470.99999999999994</v>
      </c>
      <c r="CW192" s="72">
        <f t="shared" ref="CW192:CW222" si="84">IF($CS192&gt;0,$CE192/$CS192,0)</f>
        <v>0</v>
      </c>
      <c r="CX192" s="72">
        <f t="shared" ref="CX192:CX222" si="85">IF($CT192&gt;0,$CE192/$CT192,0)</f>
        <v>0</v>
      </c>
      <c r="CY192" s="72">
        <f t="shared" ref="CY192:CY222" si="86">IF($CU192&gt;0,$CH192/$CU192,0)</f>
        <v>0</v>
      </c>
      <c r="CZ192" s="70">
        <f t="shared" ref="CZ192:CZ222" si="87">IF($CF192=0,0,$CG192*$CV192*$CD192/$CF192+$CW192*$CD192+$CX192*$CD192+$CY192*$CD192)</f>
        <v>0</v>
      </c>
    </row>
    <row r="193" spans="80:104">
      <c r="CB193" s="63">
        <v>2</v>
      </c>
      <c r="CC193" s="63">
        <f>data!$K23</f>
        <v>21</v>
      </c>
      <c r="CD193" s="63">
        <f>data!$L23</f>
        <v>307</v>
      </c>
      <c r="CE193" s="70">
        <f t="shared" si="66"/>
        <v>184.61538461538461</v>
      </c>
      <c r="CF193" s="71">
        <f t="shared" si="67"/>
        <v>0.74625170751608039</v>
      </c>
      <c r="CG193" s="71">
        <f t="shared" si="68"/>
        <v>6.019150931881604E-2</v>
      </c>
      <c r="CH193" s="72">
        <f t="shared" si="69"/>
        <v>6488.166666666667</v>
      </c>
      <c r="CI193" s="72">
        <f t="shared" si="70"/>
        <v>3067.1333333333328</v>
      </c>
      <c r="CJ193" s="72">
        <f t="shared" si="71"/>
        <v>3067.1333333333328</v>
      </c>
      <c r="CK193" s="70">
        <f t="shared" si="72"/>
        <v>56676.923076923078</v>
      </c>
      <c r="CL193" s="72">
        <f t="shared" si="73"/>
        <v>1214.9866666666667</v>
      </c>
      <c r="CM193" s="72">
        <f t="shared" si="74"/>
        <v>479.59999999999997</v>
      </c>
      <c r="CN193" s="72">
        <f t="shared" si="75"/>
        <v>479.59999999999997</v>
      </c>
      <c r="CO193" s="45">
        <f t="shared" si="76"/>
        <v>5.340113471752777</v>
      </c>
      <c r="CP193" s="45">
        <f t="shared" si="77"/>
        <v>6.3951904364748398</v>
      </c>
      <c r="CQ193" s="45">
        <f t="shared" si="78"/>
        <v>6.3951904364748398</v>
      </c>
      <c r="CR193" s="45">
        <f t="shared" si="79"/>
        <v>6.3951904364748398</v>
      </c>
      <c r="CS193" s="45">
        <f t="shared" si="80"/>
        <v>0</v>
      </c>
      <c r="CT193" s="45">
        <f t="shared" si="81"/>
        <v>0</v>
      </c>
      <c r="CU193" s="45">
        <f t="shared" si="82"/>
        <v>0</v>
      </c>
      <c r="CV193" s="72">
        <f t="shared" si="83"/>
        <v>479.59999999999997</v>
      </c>
      <c r="CW193" s="72">
        <f t="shared" si="84"/>
        <v>0</v>
      </c>
      <c r="CX193" s="72">
        <f t="shared" si="85"/>
        <v>0</v>
      </c>
      <c r="CY193" s="72">
        <f t="shared" si="86"/>
        <v>0</v>
      </c>
      <c r="CZ193" s="70">
        <f t="shared" si="87"/>
        <v>11875.924981632837</v>
      </c>
    </row>
    <row r="194" spans="80:104">
      <c r="CB194" s="63">
        <v>3</v>
      </c>
      <c r="CC194" s="63">
        <f>data!$K24</f>
        <v>22</v>
      </c>
      <c r="CD194" s="63">
        <f>data!$L24</f>
        <v>311</v>
      </c>
      <c r="CE194" s="70">
        <f t="shared" si="66"/>
        <v>369.23076923076923</v>
      </c>
      <c r="CF194" s="71">
        <f t="shared" si="67"/>
        <v>0.762860901528015</v>
      </c>
      <c r="CG194" s="71">
        <f t="shared" si="68"/>
        <v>0.12170704269635192</v>
      </c>
      <c r="CH194" s="72">
        <f t="shared" si="69"/>
        <v>6417.583333333333</v>
      </c>
      <c r="CI194" s="72">
        <f t="shared" si="70"/>
        <v>3033.7666666666664</v>
      </c>
      <c r="CJ194" s="72">
        <f t="shared" si="71"/>
        <v>3033.7666666666664</v>
      </c>
      <c r="CK194" s="70">
        <f t="shared" si="72"/>
        <v>114830.76923076923</v>
      </c>
      <c r="CL194" s="72">
        <f t="shared" si="73"/>
        <v>1236.7733333333333</v>
      </c>
      <c r="CM194" s="72">
        <f t="shared" si="74"/>
        <v>488.19999999999993</v>
      </c>
      <c r="CN194" s="72">
        <f t="shared" si="75"/>
        <v>488.19999999999993</v>
      </c>
      <c r="CO194" s="45">
        <f t="shared" si="76"/>
        <v>5.1889729187778952</v>
      </c>
      <c r="CP194" s="45">
        <f t="shared" si="77"/>
        <v>6.2141881742455283</v>
      </c>
      <c r="CQ194" s="45">
        <f t="shared" si="78"/>
        <v>6.2141881742455283</v>
      </c>
      <c r="CR194" s="45">
        <f t="shared" si="79"/>
        <v>6.2141881742455283</v>
      </c>
      <c r="CS194" s="45">
        <f t="shared" si="80"/>
        <v>0</v>
      </c>
      <c r="CT194" s="45">
        <f t="shared" si="81"/>
        <v>0</v>
      </c>
      <c r="CU194" s="45">
        <f t="shared" si="82"/>
        <v>0</v>
      </c>
      <c r="CV194" s="72">
        <f t="shared" si="83"/>
        <v>488.19999999999993</v>
      </c>
      <c r="CW194" s="72">
        <f t="shared" si="84"/>
        <v>0</v>
      </c>
      <c r="CX194" s="72">
        <f t="shared" si="85"/>
        <v>0</v>
      </c>
      <c r="CY194" s="72">
        <f t="shared" si="86"/>
        <v>0</v>
      </c>
      <c r="CZ194" s="70">
        <f t="shared" si="87"/>
        <v>24223.032792718164</v>
      </c>
    </row>
    <row r="195" spans="80:104">
      <c r="CB195" s="63">
        <v>4</v>
      </c>
      <c r="CC195" s="63">
        <f>data!$K25</f>
        <v>23</v>
      </c>
      <c r="CD195" s="63">
        <f>data!$L25</f>
        <v>317</v>
      </c>
      <c r="CE195" s="70">
        <f t="shared" si="66"/>
        <v>553.84615384615381</v>
      </c>
      <c r="CF195" s="71">
        <f t="shared" si="67"/>
        <v>0.77983950857834339</v>
      </c>
      <c r="CG195" s="71">
        <f t="shared" si="68"/>
        <v>0.18459077251238298</v>
      </c>
      <c r="CH195" s="72">
        <f t="shared" si="69"/>
        <v>6347</v>
      </c>
      <c r="CI195" s="72">
        <f t="shared" si="70"/>
        <v>3000.3999999999996</v>
      </c>
      <c r="CJ195" s="72">
        <f t="shared" si="71"/>
        <v>3000.3999999999996</v>
      </c>
      <c r="CK195" s="70">
        <f t="shared" si="72"/>
        <v>175569.23076923075</v>
      </c>
      <c r="CL195" s="72">
        <f t="shared" si="73"/>
        <v>1258.56</v>
      </c>
      <c r="CM195" s="72">
        <f t="shared" si="74"/>
        <v>496.79999999999995</v>
      </c>
      <c r="CN195" s="72">
        <f t="shared" si="75"/>
        <v>496.79999999999995</v>
      </c>
      <c r="CO195" s="45">
        <f t="shared" si="76"/>
        <v>5.0430650902618872</v>
      </c>
      <c r="CP195" s="45">
        <f t="shared" si="77"/>
        <v>6.0394524959742348</v>
      </c>
      <c r="CQ195" s="45">
        <f t="shared" si="78"/>
        <v>6.0394524959742348</v>
      </c>
      <c r="CR195" s="45">
        <f t="shared" si="79"/>
        <v>6.0394524959742348</v>
      </c>
      <c r="CS195" s="45">
        <f t="shared" si="80"/>
        <v>0</v>
      </c>
      <c r="CT195" s="45">
        <f t="shared" si="81"/>
        <v>0</v>
      </c>
      <c r="CU195" s="45">
        <f t="shared" si="82"/>
        <v>0</v>
      </c>
      <c r="CV195" s="72">
        <f t="shared" si="83"/>
        <v>496.79999999999995</v>
      </c>
      <c r="CW195" s="72">
        <f t="shared" si="84"/>
        <v>0</v>
      </c>
      <c r="CX195" s="72">
        <f t="shared" si="85"/>
        <v>0</v>
      </c>
      <c r="CY195" s="72">
        <f t="shared" si="86"/>
        <v>0</v>
      </c>
      <c r="CZ195" s="70">
        <f t="shared" si="87"/>
        <v>37277.399059419033</v>
      </c>
    </row>
    <row r="196" spans="80:104">
      <c r="CB196" s="63">
        <v>5</v>
      </c>
      <c r="CC196" s="63">
        <f>data!$K26</f>
        <v>24</v>
      </c>
      <c r="CD196" s="63">
        <f>data!$L26</f>
        <v>325</v>
      </c>
      <c r="CE196" s="70">
        <f t="shared" si="66"/>
        <v>738.46153846153845</v>
      </c>
      <c r="CF196" s="71">
        <f t="shared" si="67"/>
        <v>0.7971999917037047</v>
      </c>
      <c r="CG196" s="71">
        <f t="shared" si="68"/>
        <v>0.2488888581618694</v>
      </c>
      <c r="CH196" s="72">
        <f t="shared" si="69"/>
        <v>6276.416666666667</v>
      </c>
      <c r="CI196" s="72">
        <f t="shared" si="70"/>
        <v>2967.0333333333328</v>
      </c>
      <c r="CJ196" s="72">
        <f t="shared" si="71"/>
        <v>2967.0333333333328</v>
      </c>
      <c r="CK196" s="70">
        <f t="shared" si="72"/>
        <v>240000</v>
      </c>
      <c r="CL196" s="72">
        <f t="shared" si="73"/>
        <v>1280.3466666666666</v>
      </c>
      <c r="CM196" s="72">
        <f t="shared" si="74"/>
        <v>505.4</v>
      </c>
      <c r="CN196" s="72">
        <f t="shared" si="75"/>
        <v>505.4</v>
      </c>
      <c r="CO196" s="45">
        <f t="shared" si="76"/>
        <v>4.9021228625580582</v>
      </c>
      <c r="CP196" s="45">
        <f t="shared" si="77"/>
        <v>5.8706635008574057</v>
      </c>
      <c r="CQ196" s="45">
        <f t="shared" si="78"/>
        <v>5.8706635008574057</v>
      </c>
      <c r="CR196" s="45">
        <f t="shared" si="79"/>
        <v>5.8706635008574057</v>
      </c>
      <c r="CS196" s="45">
        <f t="shared" si="80"/>
        <v>0</v>
      </c>
      <c r="CT196" s="45">
        <f t="shared" si="81"/>
        <v>0</v>
      </c>
      <c r="CU196" s="45">
        <f t="shared" si="82"/>
        <v>0</v>
      </c>
      <c r="CV196" s="72">
        <f t="shared" si="83"/>
        <v>505.4</v>
      </c>
      <c r="CW196" s="72">
        <f t="shared" si="84"/>
        <v>0</v>
      </c>
      <c r="CX196" s="72">
        <f t="shared" si="85"/>
        <v>0</v>
      </c>
      <c r="CY196" s="72">
        <f t="shared" si="86"/>
        <v>0</v>
      </c>
      <c r="CZ196" s="70">
        <f t="shared" si="87"/>
        <v>51281.033395409504</v>
      </c>
    </row>
    <row r="197" spans="80:104">
      <c r="CB197" s="63">
        <v>6</v>
      </c>
      <c r="CC197" s="63">
        <f>data!$K27</f>
        <v>25</v>
      </c>
      <c r="CD197" s="63">
        <f>data!$L27</f>
        <v>334</v>
      </c>
      <c r="CE197" s="70">
        <f t="shared" si="66"/>
        <v>923.07692307692309</v>
      </c>
      <c r="CF197" s="71">
        <f t="shared" si="67"/>
        <v>0.81495538094447306</v>
      </c>
      <c r="CG197" s="71">
        <f t="shared" si="68"/>
        <v>0.31464955905360409</v>
      </c>
      <c r="CH197" s="72">
        <f t="shared" si="69"/>
        <v>6205.833333333333</v>
      </c>
      <c r="CI197" s="72">
        <f t="shared" si="70"/>
        <v>2933.6666666666665</v>
      </c>
      <c r="CJ197" s="72">
        <f t="shared" si="71"/>
        <v>2933.6666666666665</v>
      </c>
      <c r="CK197" s="70">
        <f t="shared" si="72"/>
        <v>308307.69230769231</v>
      </c>
      <c r="CL197" s="72">
        <f t="shared" si="73"/>
        <v>1302.1333333333332</v>
      </c>
      <c r="CM197" s="72">
        <f t="shared" si="74"/>
        <v>514</v>
      </c>
      <c r="CN197" s="72">
        <f t="shared" si="75"/>
        <v>514</v>
      </c>
      <c r="CO197" s="45">
        <f t="shared" si="76"/>
        <v>4.7658969895556016</v>
      </c>
      <c r="CP197" s="45">
        <f t="shared" si="77"/>
        <v>5.7075226977950706</v>
      </c>
      <c r="CQ197" s="45">
        <f t="shared" si="78"/>
        <v>5.7075226977950706</v>
      </c>
      <c r="CR197" s="45">
        <f t="shared" si="79"/>
        <v>5.7075226977950706</v>
      </c>
      <c r="CS197" s="45">
        <f t="shared" si="80"/>
        <v>0</v>
      </c>
      <c r="CT197" s="45">
        <f t="shared" si="81"/>
        <v>0</v>
      </c>
      <c r="CU197" s="45">
        <f t="shared" si="82"/>
        <v>0</v>
      </c>
      <c r="CV197" s="72">
        <f t="shared" si="83"/>
        <v>514</v>
      </c>
      <c r="CW197" s="72">
        <f t="shared" si="84"/>
        <v>0</v>
      </c>
      <c r="CX197" s="72">
        <f t="shared" si="85"/>
        <v>0</v>
      </c>
      <c r="CY197" s="72">
        <f t="shared" si="86"/>
        <v>0</v>
      </c>
      <c r="CZ197" s="70">
        <f t="shared" si="87"/>
        <v>66283.110662431514</v>
      </c>
    </row>
    <row r="198" spans="80:104">
      <c r="CB198" s="63">
        <v>7</v>
      </c>
      <c r="CC198" s="63">
        <f>data!$K28</f>
        <v>26</v>
      </c>
      <c r="CD198" s="63">
        <f>data!$L28</f>
        <v>342</v>
      </c>
      <c r="CE198" s="70">
        <f t="shared" si="66"/>
        <v>1107.6923076923076</v>
      </c>
      <c r="CF198" s="71">
        <f t="shared" si="67"/>
        <v>0.83311930596039141</v>
      </c>
      <c r="CG198" s="71">
        <f t="shared" si="68"/>
        <v>0.38192335540885691</v>
      </c>
      <c r="CH198" s="72">
        <f t="shared" si="69"/>
        <v>6135.25</v>
      </c>
      <c r="CI198" s="72">
        <f t="shared" si="70"/>
        <v>2900.2999999999997</v>
      </c>
      <c r="CJ198" s="72">
        <f t="shared" si="71"/>
        <v>2900.2999999999997</v>
      </c>
      <c r="CK198" s="70">
        <f t="shared" si="72"/>
        <v>378830.76923076919</v>
      </c>
      <c r="CL198" s="72">
        <f t="shared" si="73"/>
        <v>1323.92</v>
      </c>
      <c r="CM198" s="72">
        <f t="shared" si="74"/>
        <v>522.59999999999991</v>
      </c>
      <c r="CN198" s="72">
        <f t="shared" si="75"/>
        <v>522.59999999999991</v>
      </c>
      <c r="CO198" s="45">
        <f t="shared" si="76"/>
        <v>4.6341546316998006</v>
      </c>
      <c r="CP198" s="45">
        <f t="shared" si="77"/>
        <v>5.5497512437810954</v>
      </c>
      <c r="CQ198" s="45">
        <f t="shared" si="78"/>
        <v>5.5497512437810954</v>
      </c>
      <c r="CR198" s="45">
        <f t="shared" si="79"/>
        <v>5.5497512437810954</v>
      </c>
      <c r="CS198" s="45">
        <f t="shared" si="80"/>
        <v>0</v>
      </c>
      <c r="CT198" s="45">
        <f t="shared" si="81"/>
        <v>0</v>
      </c>
      <c r="CU198" s="45">
        <f t="shared" si="82"/>
        <v>0</v>
      </c>
      <c r="CV198" s="72">
        <f t="shared" si="83"/>
        <v>522.59999999999991</v>
      </c>
      <c r="CW198" s="72">
        <f t="shared" si="84"/>
        <v>0</v>
      </c>
      <c r="CX198" s="72">
        <f t="shared" si="85"/>
        <v>0</v>
      </c>
      <c r="CY198" s="72">
        <f t="shared" si="86"/>
        <v>0</v>
      </c>
      <c r="CZ198" s="70">
        <f t="shared" si="87"/>
        <v>81934.07028883083</v>
      </c>
    </row>
    <row r="199" spans="80:104">
      <c r="CB199" s="63">
        <v>8</v>
      </c>
      <c r="CC199" s="63">
        <f>data!$K29</f>
        <v>27</v>
      </c>
      <c r="CD199" s="63">
        <f>data!$L29</f>
        <v>349</v>
      </c>
      <c r="CE199" s="70">
        <f t="shared" si="66"/>
        <v>1292.3076923076924</v>
      </c>
      <c r="CF199" s="71">
        <f t="shared" si="67"/>
        <v>0.85170603092377806</v>
      </c>
      <c r="CG199" s="71">
        <f t="shared" si="68"/>
        <v>0.45076307749547456</v>
      </c>
      <c r="CH199" s="72">
        <f t="shared" si="69"/>
        <v>6064.666666666667</v>
      </c>
      <c r="CI199" s="72">
        <f t="shared" si="70"/>
        <v>2866.9333333333329</v>
      </c>
      <c r="CJ199" s="72">
        <f t="shared" si="71"/>
        <v>2866.9333333333329</v>
      </c>
      <c r="CK199" s="70">
        <f t="shared" si="72"/>
        <v>451015.38461538462</v>
      </c>
      <c r="CL199" s="72">
        <f t="shared" si="73"/>
        <v>1345.7066666666667</v>
      </c>
      <c r="CM199" s="72">
        <f t="shared" si="74"/>
        <v>531.19999999999993</v>
      </c>
      <c r="CN199" s="72">
        <f t="shared" si="75"/>
        <v>531.19999999999993</v>
      </c>
      <c r="CO199" s="45">
        <f t="shared" si="76"/>
        <v>4.5066780279010779</v>
      </c>
      <c r="CP199" s="45">
        <f t="shared" si="77"/>
        <v>5.3970883534136549</v>
      </c>
      <c r="CQ199" s="45">
        <f t="shared" si="78"/>
        <v>5.3970883534136549</v>
      </c>
      <c r="CR199" s="45">
        <f t="shared" si="79"/>
        <v>5.3970883534136549</v>
      </c>
      <c r="CS199" s="45">
        <f t="shared" si="80"/>
        <v>0</v>
      </c>
      <c r="CT199" s="45">
        <f t="shared" si="81"/>
        <v>0</v>
      </c>
      <c r="CU199" s="45">
        <f t="shared" si="82"/>
        <v>0</v>
      </c>
      <c r="CV199" s="72">
        <f t="shared" si="83"/>
        <v>531.19999999999993</v>
      </c>
      <c r="CW199" s="72">
        <f t="shared" si="84"/>
        <v>0</v>
      </c>
      <c r="CX199" s="72">
        <f t="shared" si="85"/>
        <v>0</v>
      </c>
      <c r="CY199" s="72">
        <f t="shared" si="86"/>
        <v>0</v>
      </c>
      <c r="CZ199" s="70">
        <f t="shared" si="87"/>
        <v>98116.513194764091</v>
      </c>
    </row>
    <row r="200" spans="80:104">
      <c r="CB200" s="63">
        <v>9</v>
      </c>
      <c r="CC200" s="63">
        <f>data!$K30</f>
        <v>28</v>
      </c>
      <c r="CD200" s="63">
        <f>data!$L30</f>
        <v>354</v>
      </c>
      <c r="CE200" s="70">
        <f t="shared" si="66"/>
        <v>1476.9230769230769</v>
      </c>
      <c r="CF200" s="71">
        <f t="shared" si="67"/>
        <v>0.87073049187804441</v>
      </c>
      <c r="CG200" s="71">
        <f t="shared" si="68"/>
        <v>0.52122404399275712</v>
      </c>
      <c r="CH200" s="72">
        <f t="shared" si="69"/>
        <v>5994.083333333333</v>
      </c>
      <c r="CI200" s="72">
        <f t="shared" si="70"/>
        <v>2833.5666666666666</v>
      </c>
      <c r="CJ200" s="72">
        <f t="shared" si="71"/>
        <v>2833.5666666666666</v>
      </c>
      <c r="CK200" s="70">
        <f t="shared" si="72"/>
        <v>522830.76923076925</v>
      </c>
      <c r="CL200" s="72">
        <f t="shared" si="73"/>
        <v>1367.4933333333333</v>
      </c>
      <c r="CM200" s="72">
        <f t="shared" si="74"/>
        <v>539.79999999999995</v>
      </c>
      <c r="CN200" s="72">
        <f t="shared" si="75"/>
        <v>539.79999999999995</v>
      </c>
      <c r="CO200" s="45">
        <f t="shared" si="76"/>
        <v>4.3832632943975351</v>
      </c>
      <c r="CP200" s="45">
        <f t="shared" si="77"/>
        <v>5.249289860442139</v>
      </c>
      <c r="CQ200" s="45">
        <f t="shared" si="78"/>
        <v>5.249289860442139</v>
      </c>
      <c r="CR200" s="45">
        <f t="shared" si="79"/>
        <v>5.249289860442139</v>
      </c>
      <c r="CS200" s="45">
        <f t="shared" si="80"/>
        <v>0</v>
      </c>
      <c r="CT200" s="45">
        <f t="shared" si="81"/>
        <v>0</v>
      </c>
      <c r="CU200" s="45">
        <f t="shared" si="82"/>
        <v>0</v>
      </c>
      <c r="CV200" s="72">
        <f t="shared" si="83"/>
        <v>539.79999999999995</v>
      </c>
      <c r="CW200" s="72">
        <f t="shared" si="84"/>
        <v>0</v>
      </c>
      <c r="CX200" s="72">
        <f t="shared" si="85"/>
        <v>0</v>
      </c>
      <c r="CY200" s="72">
        <f t="shared" si="86"/>
        <v>0</v>
      </c>
      <c r="CZ200" s="70">
        <f t="shared" si="87"/>
        <v>114387.04227816442</v>
      </c>
    </row>
    <row r="201" spans="80:104">
      <c r="CB201" s="63">
        <v>10</v>
      </c>
      <c r="CC201" s="63">
        <f>data!$K31</f>
        <v>29</v>
      </c>
      <c r="CD201" s="63">
        <f>data!$L31</f>
        <v>356</v>
      </c>
      <c r="CE201" s="70">
        <f t="shared" si="66"/>
        <v>1661.5384615384614</v>
      </c>
      <c r="CF201" s="71">
        <f t="shared" si="67"/>
        <v>0.89020833676715405</v>
      </c>
      <c r="CG201" s="71">
        <f t="shared" si="68"/>
        <v>0.59336421024871855</v>
      </c>
      <c r="CH201" s="72">
        <f t="shared" si="69"/>
        <v>5923.5</v>
      </c>
      <c r="CI201" s="72">
        <f t="shared" si="70"/>
        <v>2800.2</v>
      </c>
      <c r="CJ201" s="72">
        <f t="shared" si="71"/>
        <v>2800.2</v>
      </c>
      <c r="CK201" s="70">
        <f t="shared" si="72"/>
        <v>591507.69230769225</v>
      </c>
      <c r="CL201" s="72">
        <f t="shared" si="73"/>
        <v>1389.28</v>
      </c>
      <c r="CM201" s="72">
        <f t="shared" si="74"/>
        <v>548.4</v>
      </c>
      <c r="CN201" s="72">
        <f t="shared" si="75"/>
        <v>548.4</v>
      </c>
      <c r="CO201" s="45">
        <f t="shared" si="76"/>
        <v>4.2637193366348036</v>
      </c>
      <c r="CP201" s="45">
        <f t="shared" si="77"/>
        <v>5.1061269146608312</v>
      </c>
      <c r="CQ201" s="45">
        <f t="shared" si="78"/>
        <v>5.1061269146608312</v>
      </c>
      <c r="CR201" s="45">
        <f t="shared" si="79"/>
        <v>5.1061269146608312</v>
      </c>
      <c r="CS201" s="45">
        <f t="shared" si="80"/>
        <v>0</v>
      </c>
      <c r="CT201" s="45">
        <f t="shared" si="81"/>
        <v>0</v>
      </c>
      <c r="CU201" s="45">
        <f t="shared" si="82"/>
        <v>0</v>
      </c>
      <c r="CV201" s="72">
        <f t="shared" si="83"/>
        <v>548.4</v>
      </c>
      <c r="CW201" s="72">
        <f t="shared" si="84"/>
        <v>0</v>
      </c>
      <c r="CX201" s="72">
        <f t="shared" si="85"/>
        <v>0</v>
      </c>
      <c r="CY201" s="72">
        <f t="shared" si="86"/>
        <v>0</v>
      </c>
      <c r="CZ201" s="70">
        <f t="shared" si="87"/>
        <v>130129.91153647403</v>
      </c>
    </row>
    <row r="202" spans="80:104">
      <c r="CB202" s="63">
        <v>11</v>
      </c>
      <c r="CC202" s="63">
        <f>data!$K32</f>
        <v>30</v>
      </c>
      <c r="CD202" s="63">
        <f>data!$L32</f>
        <v>355</v>
      </c>
      <c r="CE202" s="70">
        <f t="shared" si="66"/>
        <v>1846.1538461538462</v>
      </c>
      <c r="CF202" s="71">
        <f t="shared" si="67"/>
        <v>0.91015596836149815</v>
      </c>
      <c r="CG202" s="71">
        <f t="shared" si="68"/>
        <v>0.66724432726480809</v>
      </c>
      <c r="CH202" s="72">
        <f t="shared" si="69"/>
        <v>5852.916666666667</v>
      </c>
      <c r="CI202" s="72">
        <f t="shared" si="70"/>
        <v>2766.833333333333</v>
      </c>
      <c r="CJ202" s="72">
        <f t="shared" si="71"/>
        <v>2766.833333333333</v>
      </c>
      <c r="CK202" s="70">
        <f t="shared" si="72"/>
        <v>655384.61538461538</v>
      </c>
      <c r="CL202" s="72">
        <f t="shared" si="73"/>
        <v>1411.0666666666666</v>
      </c>
      <c r="CM202" s="72">
        <f t="shared" si="74"/>
        <v>557</v>
      </c>
      <c r="CN202" s="72">
        <f t="shared" si="75"/>
        <v>557</v>
      </c>
      <c r="CO202" s="45">
        <f t="shared" si="76"/>
        <v>4.1478668619484083</v>
      </c>
      <c r="CP202" s="45">
        <f t="shared" si="77"/>
        <v>4.9673847995212439</v>
      </c>
      <c r="CQ202" s="45">
        <f t="shared" si="78"/>
        <v>4.9673847995212439</v>
      </c>
      <c r="CR202" s="45">
        <f t="shared" si="79"/>
        <v>4.9673847995212439</v>
      </c>
      <c r="CS202" s="45">
        <f t="shared" si="80"/>
        <v>0</v>
      </c>
      <c r="CT202" s="45">
        <f t="shared" si="81"/>
        <v>0</v>
      </c>
      <c r="CU202" s="45">
        <f t="shared" si="82"/>
        <v>0</v>
      </c>
      <c r="CV202" s="72">
        <f t="shared" si="83"/>
        <v>557</v>
      </c>
      <c r="CW202" s="72">
        <f t="shared" si="84"/>
        <v>0</v>
      </c>
      <c r="CX202" s="72">
        <f t="shared" si="85"/>
        <v>0</v>
      </c>
      <c r="CY202" s="72">
        <f t="shared" si="86"/>
        <v>0</v>
      </c>
      <c r="CZ202" s="70">
        <f t="shared" si="87"/>
        <v>144961.48093081944</v>
      </c>
    </row>
    <row r="203" spans="80:104">
      <c r="CB203" s="63">
        <v>12</v>
      </c>
      <c r="CC203" s="63">
        <f>data!$K33</f>
        <v>31</v>
      </c>
      <c r="CD203" s="63">
        <f>data!$L33</f>
        <v>351</v>
      </c>
      <c r="CE203" s="70">
        <f t="shared" si="66"/>
        <v>2030.7692307692307</v>
      </c>
      <c r="CF203" s="71">
        <f t="shared" si="67"/>
        <v>0.93059059032767633</v>
      </c>
      <c r="CG203" s="71">
        <f t="shared" si="68"/>
        <v>0.74292811232472711</v>
      </c>
      <c r="CH203" s="72">
        <f t="shared" si="69"/>
        <v>5782.333333333333</v>
      </c>
      <c r="CI203" s="72">
        <f t="shared" si="70"/>
        <v>2733.4666666666667</v>
      </c>
      <c r="CJ203" s="72">
        <f t="shared" si="71"/>
        <v>2733.4666666666667</v>
      </c>
      <c r="CK203" s="70">
        <f t="shared" si="72"/>
        <v>712800</v>
      </c>
      <c r="CL203" s="72">
        <f t="shared" si="73"/>
        <v>1432.8533333333332</v>
      </c>
      <c r="CM203" s="72">
        <f t="shared" si="74"/>
        <v>565.6</v>
      </c>
      <c r="CN203" s="72">
        <f t="shared" si="75"/>
        <v>565.6</v>
      </c>
      <c r="CO203" s="45">
        <f t="shared" si="76"/>
        <v>4.0355374823196604</v>
      </c>
      <c r="CP203" s="45">
        <f t="shared" si="77"/>
        <v>4.8328618576143327</v>
      </c>
      <c r="CQ203" s="45">
        <f t="shared" si="78"/>
        <v>4.8328618576143327</v>
      </c>
      <c r="CR203" s="45">
        <f t="shared" si="79"/>
        <v>4.8328618576143327</v>
      </c>
      <c r="CS203" s="45">
        <f t="shared" si="80"/>
        <v>0</v>
      </c>
      <c r="CT203" s="45">
        <f t="shared" si="81"/>
        <v>0</v>
      </c>
      <c r="CU203" s="45">
        <f t="shared" si="82"/>
        <v>0</v>
      </c>
      <c r="CV203" s="72">
        <f t="shared" si="83"/>
        <v>565.6</v>
      </c>
      <c r="CW203" s="72">
        <f t="shared" si="84"/>
        <v>0</v>
      </c>
      <c r="CX203" s="72">
        <f t="shared" si="85"/>
        <v>0</v>
      </c>
      <c r="CY203" s="72">
        <f t="shared" si="86"/>
        <v>0</v>
      </c>
      <c r="CZ203" s="70">
        <f t="shared" si="87"/>
        <v>158491.01719822903</v>
      </c>
    </row>
    <row r="204" spans="80:104">
      <c r="CB204" s="63">
        <v>13</v>
      </c>
      <c r="CC204" s="63">
        <f>data!$K34</f>
        <v>32</v>
      </c>
      <c r="CD204" s="63">
        <f>data!$L34</f>
        <v>344</v>
      </c>
      <c r="CE204" s="70">
        <f t="shared" si="66"/>
        <v>2215.3846153846152</v>
      </c>
      <c r="CF204" s="71">
        <f t="shared" si="67"/>
        <v>0.95153025671413882</v>
      </c>
      <c r="CG204" s="71">
        <f t="shared" si="68"/>
        <v>0.82048243227458806</v>
      </c>
      <c r="CH204" s="72">
        <f t="shared" si="69"/>
        <v>5711.75</v>
      </c>
      <c r="CI204" s="72">
        <f t="shared" si="70"/>
        <v>2700.1</v>
      </c>
      <c r="CJ204" s="72">
        <f t="shared" si="71"/>
        <v>2700.1</v>
      </c>
      <c r="CK204" s="70">
        <f t="shared" si="72"/>
        <v>762092.30769230763</v>
      </c>
      <c r="CL204" s="72">
        <f t="shared" si="73"/>
        <v>1454.6399999999999</v>
      </c>
      <c r="CM204" s="72">
        <f t="shared" si="74"/>
        <v>574.20000000000005</v>
      </c>
      <c r="CN204" s="72">
        <f t="shared" si="75"/>
        <v>574.20000000000005</v>
      </c>
      <c r="CO204" s="45">
        <f t="shared" si="76"/>
        <v>3.9265728977616456</v>
      </c>
      <c r="CP204" s="45">
        <f t="shared" si="77"/>
        <v>4.7023685127133401</v>
      </c>
      <c r="CQ204" s="45">
        <f t="shared" si="78"/>
        <v>4.7023685127133401</v>
      </c>
      <c r="CR204" s="45">
        <f t="shared" si="79"/>
        <v>4.7023685127133401</v>
      </c>
      <c r="CS204" s="45">
        <f t="shared" si="80"/>
        <v>0</v>
      </c>
      <c r="CT204" s="45">
        <f t="shared" si="81"/>
        <v>0</v>
      </c>
      <c r="CU204" s="45">
        <f t="shared" si="82"/>
        <v>0</v>
      </c>
      <c r="CV204" s="72">
        <f t="shared" si="83"/>
        <v>574.20000000000005</v>
      </c>
      <c r="CW204" s="72">
        <f t="shared" si="84"/>
        <v>0</v>
      </c>
      <c r="CX204" s="72">
        <f t="shared" si="85"/>
        <v>0</v>
      </c>
      <c r="CY204" s="72">
        <f t="shared" si="86"/>
        <v>0</v>
      </c>
      <c r="CZ204" s="70">
        <f t="shared" si="87"/>
        <v>170321.04569980031</v>
      </c>
    </row>
    <row r="205" spans="80:104">
      <c r="CB205" s="63">
        <v>14</v>
      </c>
      <c r="CC205" s="63">
        <f>data!$K35</f>
        <v>33</v>
      </c>
      <c r="CD205" s="63">
        <f>data!$L35</f>
        <v>332</v>
      </c>
      <c r="CE205" s="70">
        <f t="shared" si="66"/>
        <v>2400</v>
      </c>
      <c r="CF205" s="71">
        <f t="shared" si="67"/>
        <v>0.97299392515187122</v>
      </c>
      <c r="CG205" s="71">
        <f t="shared" si="68"/>
        <v>0.89997750056248604</v>
      </c>
      <c r="CH205" s="72">
        <f t="shared" si="69"/>
        <v>5641.166666666667</v>
      </c>
      <c r="CI205" s="72">
        <f t="shared" si="70"/>
        <v>2666.7333333333331</v>
      </c>
      <c r="CJ205" s="72">
        <f t="shared" si="71"/>
        <v>2666.7333333333331</v>
      </c>
      <c r="CK205" s="70">
        <f t="shared" si="72"/>
        <v>796800</v>
      </c>
      <c r="CL205" s="72">
        <f t="shared" si="73"/>
        <v>1476.4266666666667</v>
      </c>
      <c r="CM205" s="72">
        <f t="shared" si="74"/>
        <v>582.79999999999995</v>
      </c>
      <c r="CN205" s="72">
        <f t="shared" si="75"/>
        <v>582.79999999999995</v>
      </c>
      <c r="CO205" s="45">
        <f t="shared" si="76"/>
        <v>3.8208241520066468</v>
      </c>
      <c r="CP205" s="45">
        <f t="shared" si="77"/>
        <v>4.575726378403111</v>
      </c>
      <c r="CQ205" s="45">
        <f t="shared" si="78"/>
        <v>4.575726378403111</v>
      </c>
      <c r="CR205" s="45">
        <f t="shared" si="79"/>
        <v>4.575726378403111</v>
      </c>
      <c r="CS205" s="45">
        <f t="shared" si="80"/>
        <v>0</v>
      </c>
      <c r="CT205" s="45">
        <f t="shared" si="81"/>
        <v>0</v>
      </c>
      <c r="CU205" s="45">
        <f t="shared" si="82"/>
        <v>0</v>
      </c>
      <c r="CV205" s="72">
        <f t="shared" si="83"/>
        <v>582.79999999999995</v>
      </c>
      <c r="CW205" s="72">
        <f t="shared" si="84"/>
        <v>0</v>
      </c>
      <c r="CX205" s="72">
        <f t="shared" si="85"/>
        <v>0</v>
      </c>
      <c r="CY205" s="72">
        <f t="shared" si="86"/>
        <v>0</v>
      </c>
      <c r="CZ205" s="70">
        <f t="shared" si="87"/>
        <v>178969.55170162534</v>
      </c>
    </row>
    <row r="206" spans="80:104">
      <c r="CB206" s="63">
        <v>15</v>
      </c>
      <c r="CC206" s="63">
        <f>data!$K36</f>
        <v>34</v>
      </c>
      <c r="CD206" s="63">
        <f>data!$L36</f>
        <v>317</v>
      </c>
      <c r="CE206" s="70">
        <f t="shared" si="66"/>
        <v>2584.6153846153848</v>
      </c>
      <c r="CF206" s="71">
        <f t="shared" si="67"/>
        <v>0.99500151409962678</v>
      </c>
      <c r="CG206" s="71">
        <f t="shared" si="68"/>
        <v>0.98148708925787698</v>
      </c>
      <c r="CH206" s="72">
        <f t="shared" si="69"/>
        <v>5570.583333333333</v>
      </c>
      <c r="CI206" s="72">
        <f t="shared" si="70"/>
        <v>2633.3666666666668</v>
      </c>
      <c r="CJ206" s="72">
        <f t="shared" si="71"/>
        <v>2633.3666666666668</v>
      </c>
      <c r="CK206" s="70">
        <f t="shared" si="72"/>
        <v>819323.07692307699</v>
      </c>
      <c r="CL206" s="72">
        <f t="shared" si="73"/>
        <v>1498.2133333333334</v>
      </c>
      <c r="CM206" s="72">
        <f t="shared" si="74"/>
        <v>591.4</v>
      </c>
      <c r="CN206" s="72">
        <f t="shared" si="75"/>
        <v>591.4</v>
      </c>
      <c r="CO206" s="45">
        <f t="shared" si="76"/>
        <v>3.7181509531352899</v>
      </c>
      <c r="CP206" s="45">
        <f t="shared" si="77"/>
        <v>4.4527674444820207</v>
      </c>
      <c r="CQ206" s="45">
        <f t="shared" si="78"/>
        <v>4.4527674444820207</v>
      </c>
      <c r="CR206" s="45">
        <f t="shared" si="79"/>
        <v>4.4527674444820207</v>
      </c>
      <c r="CS206" s="45">
        <f t="shared" si="80"/>
        <v>0</v>
      </c>
      <c r="CT206" s="45">
        <f t="shared" si="81"/>
        <v>0</v>
      </c>
      <c r="CU206" s="45">
        <f t="shared" si="82"/>
        <v>0</v>
      </c>
      <c r="CV206" s="72">
        <f t="shared" si="83"/>
        <v>591.4</v>
      </c>
      <c r="CW206" s="72">
        <f t="shared" si="84"/>
        <v>0</v>
      </c>
      <c r="CX206" s="72">
        <f t="shared" si="85"/>
        <v>0</v>
      </c>
      <c r="CY206" s="72">
        <f t="shared" si="86"/>
        <v>0</v>
      </c>
      <c r="CZ206" s="70">
        <f t="shared" si="87"/>
        <v>184927.4716336659</v>
      </c>
    </row>
    <row r="207" spans="80:104">
      <c r="CB207" s="63">
        <v>16</v>
      </c>
      <c r="CC207" s="63">
        <f>data!$K37</f>
        <v>35</v>
      </c>
      <c r="CD207" s="63">
        <f>data!$L37</f>
        <v>299</v>
      </c>
      <c r="CE207" s="70">
        <f t="shared" si="66"/>
        <v>2769.2307692307691</v>
      </c>
      <c r="CF207" s="71">
        <f t="shared" si="67"/>
        <v>1</v>
      </c>
      <c r="CG207" s="71">
        <f t="shared" si="68"/>
        <v>1</v>
      </c>
      <c r="CH207" s="72">
        <f t="shared" si="69"/>
        <v>5500</v>
      </c>
      <c r="CI207" s="72">
        <f t="shared" si="70"/>
        <v>2600</v>
      </c>
      <c r="CJ207" s="72">
        <f t="shared" si="71"/>
        <v>2600</v>
      </c>
      <c r="CK207" s="70">
        <f t="shared" si="72"/>
        <v>828000</v>
      </c>
      <c r="CL207" s="72">
        <f t="shared" si="73"/>
        <v>1520</v>
      </c>
      <c r="CM207" s="72">
        <f t="shared" si="74"/>
        <v>600</v>
      </c>
      <c r="CN207" s="72">
        <f t="shared" si="75"/>
        <v>600</v>
      </c>
      <c r="CO207" s="45">
        <f t="shared" si="76"/>
        <v>3.6184210526315788</v>
      </c>
      <c r="CP207" s="45">
        <f t="shared" si="77"/>
        <v>4.333333333333333</v>
      </c>
      <c r="CQ207" s="45">
        <f t="shared" si="78"/>
        <v>4.333333333333333</v>
      </c>
      <c r="CR207" s="45">
        <f t="shared" si="79"/>
        <v>0</v>
      </c>
      <c r="CS207" s="45">
        <f t="shared" si="80"/>
        <v>0</v>
      </c>
      <c r="CT207" s="45">
        <f t="shared" si="81"/>
        <v>4.3094523041337771</v>
      </c>
      <c r="CU207" s="45">
        <f t="shared" si="82"/>
        <v>0</v>
      </c>
      <c r="CV207" s="72">
        <f t="shared" si="83"/>
        <v>0</v>
      </c>
      <c r="CW207" s="72">
        <f t="shared" si="84"/>
        <v>0</v>
      </c>
      <c r="CX207" s="72">
        <f t="shared" si="85"/>
        <v>642.59459759525043</v>
      </c>
      <c r="CY207" s="72">
        <f t="shared" si="86"/>
        <v>0</v>
      </c>
      <c r="CZ207" s="70">
        <f t="shared" si="87"/>
        <v>192135.78468097988</v>
      </c>
    </row>
    <row r="208" spans="80:104">
      <c r="CB208" s="63">
        <v>17</v>
      </c>
      <c r="CC208" s="63">
        <f>data!$K38</f>
        <v>36</v>
      </c>
      <c r="CD208" s="63">
        <f>data!$L38</f>
        <v>277</v>
      </c>
      <c r="CE208" s="70">
        <f t="shared" si="66"/>
        <v>2953.8461538461538</v>
      </c>
      <c r="CF208" s="71">
        <f t="shared" si="67"/>
        <v>1</v>
      </c>
      <c r="CG208" s="71">
        <f t="shared" si="68"/>
        <v>1</v>
      </c>
      <c r="CH208" s="72">
        <f t="shared" si="69"/>
        <v>5436.363636363636</v>
      </c>
      <c r="CI208" s="72">
        <f t="shared" si="70"/>
        <v>2566.6727272727271</v>
      </c>
      <c r="CJ208" s="72">
        <f t="shared" si="71"/>
        <v>2566.6727272727271</v>
      </c>
      <c r="CK208" s="70">
        <f t="shared" si="72"/>
        <v>818215.38461538462</v>
      </c>
      <c r="CL208" s="72">
        <f t="shared" si="73"/>
        <v>1550</v>
      </c>
      <c r="CM208" s="72">
        <f t="shared" si="74"/>
        <v>613.63636363636363</v>
      </c>
      <c r="CN208" s="72">
        <f t="shared" si="75"/>
        <v>613.63636363636363</v>
      </c>
      <c r="CO208" s="45">
        <f t="shared" si="76"/>
        <v>3.5073313782991202</v>
      </c>
      <c r="CP208" s="45">
        <f t="shared" si="77"/>
        <v>4.1827259259259257</v>
      </c>
      <c r="CQ208" s="45">
        <f t="shared" si="78"/>
        <v>4.1827259259259257</v>
      </c>
      <c r="CR208" s="45">
        <f t="shared" si="79"/>
        <v>0</v>
      </c>
      <c r="CS208" s="45">
        <f t="shared" si="80"/>
        <v>0</v>
      </c>
      <c r="CT208" s="45">
        <f t="shared" si="81"/>
        <v>4.174428945644939</v>
      </c>
      <c r="CU208" s="45">
        <f t="shared" si="82"/>
        <v>0</v>
      </c>
      <c r="CV208" s="72">
        <f t="shared" si="83"/>
        <v>0</v>
      </c>
      <c r="CW208" s="72">
        <f t="shared" si="84"/>
        <v>0</v>
      </c>
      <c r="CX208" s="72">
        <f t="shared" si="85"/>
        <v>707.60484662885835</v>
      </c>
      <c r="CY208" s="72">
        <f t="shared" si="86"/>
        <v>0</v>
      </c>
      <c r="CZ208" s="70">
        <f t="shared" si="87"/>
        <v>196006.54251619376</v>
      </c>
    </row>
    <row r="209" spans="80:104">
      <c r="CB209" s="63">
        <v>18</v>
      </c>
      <c r="CC209" s="63">
        <f>data!$K39</f>
        <v>37</v>
      </c>
      <c r="CD209" s="63">
        <f>data!$L39</f>
        <v>252</v>
      </c>
      <c r="CE209" s="70">
        <f t="shared" si="66"/>
        <v>3138.4615384615386</v>
      </c>
      <c r="CF209" s="71">
        <f t="shared" si="67"/>
        <v>1</v>
      </c>
      <c r="CG209" s="71">
        <f t="shared" si="68"/>
        <v>1</v>
      </c>
      <c r="CH209" s="72">
        <f t="shared" si="69"/>
        <v>5372.727272727273</v>
      </c>
      <c r="CI209" s="72">
        <f t="shared" si="70"/>
        <v>2533.3454545454547</v>
      </c>
      <c r="CJ209" s="72">
        <f t="shared" si="71"/>
        <v>2533.3454545454547</v>
      </c>
      <c r="CK209" s="70">
        <f t="shared" si="72"/>
        <v>790892.30769230775</v>
      </c>
      <c r="CL209" s="72">
        <f t="shared" si="73"/>
        <v>1580</v>
      </c>
      <c r="CM209" s="72">
        <f t="shared" si="74"/>
        <v>627.27272727272725</v>
      </c>
      <c r="CN209" s="72">
        <f t="shared" si="75"/>
        <v>627.27272727272725</v>
      </c>
      <c r="CO209" s="45">
        <f t="shared" si="76"/>
        <v>3.4004602991944766</v>
      </c>
      <c r="CP209" s="45">
        <f t="shared" si="77"/>
        <v>4.0386666666666668</v>
      </c>
      <c r="CQ209" s="45">
        <f t="shared" si="78"/>
        <v>4.0386666666666668</v>
      </c>
      <c r="CR209" s="45">
        <f t="shared" si="79"/>
        <v>0</v>
      </c>
      <c r="CS209" s="45">
        <f t="shared" si="80"/>
        <v>0</v>
      </c>
      <c r="CT209" s="45">
        <f t="shared" si="81"/>
        <v>4.0164455105399046</v>
      </c>
      <c r="CU209" s="45">
        <f t="shared" si="82"/>
        <v>0</v>
      </c>
      <c r="CV209" s="72">
        <f t="shared" si="83"/>
        <v>0</v>
      </c>
      <c r="CW209" s="72">
        <f t="shared" si="84"/>
        <v>0</v>
      </c>
      <c r="CX209" s="72">
        <f t="shared" si="85"/>
        <v>781.40274285450357</v>
      </c>
      <c r="CY209" s="72">
        <f t="shared" si="86"/>
        <v>0</v>
      </c>
      <c r="CZ209" s="70">
        <f t="shared" si="87"/>
        <v>196913.49119933491</v>
      </c>
    </row>
    <row r="210" spans="80:104">
      <c r="CB210" s="63">
        <v>19</v>
      </c>
      <c r="CC210" s="63">
        <f>data!$K40</f>
        <v>38</v>
      </c>
      <c r="CD210" s="63">
        <f>data!$L40</f>
        <v>225</v>
      </c>
      <c r="CE210" s="70">
        <f t="shared" si="66"/>
        <v>3323.0769230769229</v>
      </c>
      <c r="CF210" s="71">
        <f t="shared" si="67"/>
        <v>1</v>
      </c>
      <c r="CG210" s="71">
        <f t="shared" si="68"/>
        <v>1</v>
      </c>
      <c r="CH210" s="72">
        <f t="shared" si="69"/>
        <v>5309.090909090909</v>
      </c>
      <c r="CI210" s="72">
        <f t="shared" si="70"/>
        <v>2500.0181818181818</v>
      </c>
      <c r="CJ210" s="72">
        <f t="shared" si="71"/>
        <v>2500.0181818181818</v>
      </c>
      <c r="CK210" s="70">
        <f t="shared" si="72"/>
        <v>747692.30769230763</v>
      </c>
      <c r="CL210" s="72">
        <f t="shared" si="73"/>
        <v>1610</v>
      </c>
      <c r="CM210" s="72">
        <f t="shared" si="74"/>
        <v>640.90909090909088</v>
      </c>
      <c r="CN210" s="72">
        <f t="shared" si="75"/>
        <v>640.90909090909088</v>
      </c>
      <c r="CO210" s="45">
        <f t="shared" si="76"/>
        <v>3.2975719932241669</v>
      </c>
      <c r="CP210" s="45">
        <f t="shared" si="77"/>
        <v>3.9007375886524822</v>
      </c>
      <c r="CQ210" s="45">
        <f t="shared" si="78"/>
        <v>3.9007375886524822</v>
      </c>
      <c r="CR210" s="45">
        <f t="shared" si="79"/>
        <v>0</v>
      </c>
      <c r="CS210" s="45">
        <f t="shared" si="80"/>
        <v>0</v>
      </c>
      <c r="CT210" s="45">
        <f t="shared" si="81"/>
        <v>3.8584620754348702</v>
      </c>
      <c r="CU210" s="45">
        <f t="shared" si="82"/>
        <v>0</v>
      </c>
      <c r="CV210" s="72">
        <f t="shared" si="83"/>
        <v>0</v>
      </c>
      <c r="CW210" s="72">
        <f t="shared" si="84"/>
        <v>0</v>
      </c>
      <c r="CX210" s="72">
        <f t="shared" si="85"/>
        <v>861.24389928139794</v>
      </c>
      <c r="CY210" s="72">
        <f t="shared" si="86"/>
        <v>0</v>
      </c>
      <c r="CZ210" s="70">
        <f t="shared" si="87"/>
        <v>193779.87733831455</v>
      </c>
    </row>
    <row r="211" spans="80:104">
      <c r="CB211" s="63">
        <v>20</v>
      </c>
      <c r="CC211" s="63">
        <f>data!$K41</f>
        <v>39</v>
      </c>
      <c r="CD211" s="63">
        <f>data!$L41</f>
        <v>195</v>
      </c>
      <c r="CE211" s="70">
        <f t="shared" si="66"/>
        <v>3507.6923076923076</v>
      </c>
      <c r="CF211" s="71">
        <f t="shared" si="67"/>
        <v>1</v>
      </c>
      <c r="CG211" s="71">
        <f t="shared" si="68"/>
        <v>1</v>
      </c>
      <c r="CH211" s="72">
        <f t="shared" si="69"/>
        <v>5245.454545454545</v>
      </c>
      <c r="CI211" s="72">
        <f t="shared" si="70"/>
        <v>2466.6909090909094</v>
      </c>
      <c r="CJ211" s="72">
        <f t="shared" si="71"/>
        <v>2466.6909090909094</v>
      </c>
      <c r="CK211" s="70">
        <f t="shared" si="72"/>
        <v>684000</v>
      </c>
      <c r="CL211" s="72">
        <f t="shared" si="73"/>
        <v>1640</v>
      </c>
      <c r="CM211" s="72">
        <f t="shared" si="74"/>
        <v>654.5454545454545</v>
      </c>
      <c r="CN211" s="72">
        <f t="shared" si="75"/>
        <v>654.5454545454545</v>
      </c>
      <c r="CO211" s="45">
        <f t="shared" si="76"/>
        <v>3.1984478935698446</v>
      </c>
      <c r="CP211" s="45">
        <f t="shared" si="77"/>
        <v>3.7685555555555563</v>
      </c>
      <c r="CQ211" s="45">
        <f t="shared" si="78"/>
        <v>3.7685555555555563</v>
      </c>
      <c r="CR211" s="45">
        <f t="shared" si="79"/>
        <v>0</v>
      </c>
      <c r="CS211" s="45">
        <f t="shared" si="80"/>
        <v>0</v>
      </c>
      <c r="CT211" s="45">
        <f t="shared" si="81"/>
        <v>3.7004786403298358</v>
      </c>
      <c r="CU211" s="45">
        <f t="shared" si="82"/>
        <v>0</v>
      </c>
      <c r="CV211" s="72">
        <f t="shared" si="83"/>
        <v>0</v>
      </c>
      <c r="CW211" s="72">
        <f t="shared" si="84"/>
        <v>0</v>
      </c>
      <c r="CX211" s="72">
        <f t="shared" si="85"/>
        <v>947.90232524613509</v>
      </c>
      <c r="CY211" s="72">
        <f t="shared" si="86"/>
        <v>0</v>
      </c>
      <c r="CZ211" s="70">
        <f t="shared" si="87"/>
        <v>184840.95342299633</v>
      </c>
    </row>
    <row r="212" spans="80:104">
      <c r="CB212" s="63">
        <v>21</v>
      </c>
      <c r="CC212" s="63">
        <f>data!$K42</f>
        <v>40</v>
      </c>
      <c r="CD212" s="63">
        <f>data!$L42</f>
        <v>165</v>
      </c>
      <c r="CE212" s="70">
        <f t="shared" si="66"/>
        <v>3692.3076923076924</v>
      </c>
      <c r="CF212" s="71">
        <f t="shared" si="67"/>
        <v>1</v>
      </c>
      <c r="CG212" s="71">
        <f t="shared" si="68"/>
        <v>1</v>
      </c>
      <c r="CH212" s="72">
        <f t="shared" si="69"/>
        <v>5181.818181818182</v>
      </c>
      <c r="CI212" s="72">
        <f t="shared" si="70"/>
        <v>2433.3636363636365</v>
      </c>
      <c r="CJ212" s="72">
        <f t="shared" si="71"/>
        <v>2433.3636363636365</v>
      </c>
      <c r="CK212" s="70">
        <f t="shared" si="72"/>
        <v>609230.76923076925</v>
      </c>
      <c r="CL212" s="72">
        <f t="shared" si="73"/>
        <v>1670</v>
      </c>
      <c r="CM212" s="72">
        <f t="shared" si="74"/>
        <v>668.18181818181824</v>
      </c>
      <c r="CN212" s="72">
        <f t="shared" si="75"/>
        <v>668.18181818181824</v>
      </c>
      <c r="CO212" s="45">
        <f t="shared" si="76"/>
        <v>3.1028851388132828</v>
      </c>
      <c r="CP212" s="45">
        <f t="shared" si="77"/>
        <v>3.641768707482993</v>
      </c>
      <c r="CQ212" s="45">
        <f t="shared" si="78"/>
        <v>3.641768707482993</v>
      </c>
      <c r="CR212" s="45">
        <f t="shared" si="79"/>
        <v>0</v>
      </c>
      <c r="CS212" s="45">
        <f t="shared" si="80"/>
        <v>0</v>
      </c>
      <c r="CT212" s="45">
        <f t="shared" si="81"/>
        <v>3.5424952052248013</v>
      </c>
      <c r="CU212" s="45">
        <f t="shared" si="82"/>
        <v>0</v>
      </c>
      <c r="CV212" s="72">
        <f t="shared" si="83"/>
        <v>0</v>
      </c>
      <c r="CW212" s="72">
        <f t="shared" si="84"/>
        <v>0</v>
      </c>
      <c r="CX212" s="72">
        <f t="shared" si="85"/>
        <v>1042.2901029934872</v>
      </c>
      <c r="CY212" s="72">
        <f t="shared" si="86"/>
        <v>0</v>
      </c>
      <c r="CZ212" s="70">
        <f t="shared" si="87"/>
        <v>171977.86699392539</v>
      </c>
    </row>
    <row r="213" spans="80:104">
      <c r="CB213" s="63">
        <v>22</v>
      </c>
      <c r="CC213" s="63">
        <f>data!$K43</f>
        <v>41</v>
      </c>
      <c r="CD213" s="63">
        <f>data!$L43</f>
        <v>133</v>
      </c>
      <c r="CE213" s="70">
        <f t="shared" si="66"/>
        <v>3876.9230769230771</v>
      </c>
      <c r="CF213" s="71">
        <f t="shared" si="67"/>
        <v>1</v>
      </c>
      <c r="CG213" s="71">
        <f t="shared" si="68"/>
        <v>1</v>
      </c>
      <c r="CH213" s="72">
        <f t="shared" si="69"/>
        <v>5118.181818181818</v>
      </c>
      <c r="CI213" s="72">
        <f t="shared" si="70"/>
        <v>2400.0363636363636</v>
      </c>
      <c r="CJ213" s="72">
        <f t="shared" si="71"/>
        <v>2400.0363636363636</v>
      </c>
      <c r="CK213" s="70">
        <f t="shared" si="72"/>
        <v>515630.76923076925</v>
      </c>
      <c r="CL213" s="72">
        <f t="shared" si="73"/>
        <v>1700</v>
      </c>
      <c r="CM213" s="72">
        <f t="shared" si="74"/>
        <v>681.81818181818176</v>
      </c>
      <c r="CN213" s="72">
        <f t="shared" si="75"/>
        <v>681.81818181818176</v>
      </c>
      <c r="CO213" s="45">
        <f t="shared" si="76"/>
        <v>3.0106951871657754</v>
      </c>
      <c r="CP213" s="45">
        <f t="shared" si="77"/>
        <v>3.5200533333333337</v>
      </c>
      <c r="CQ213" s="45">
        <f t="shared" si="78"/>
        <v>3.5200533333333337</v>
      </c>
      <c r="CR213" s="45">
        <f t="shared" si="79"/>
        <v>0</v>
      </c>
      <c r="CS213" s="45">
        <f t="shared" si="80"/>
        <v>0</v>
      </c>
      <c r="CT213" s="45">
        <f t="shared" si="81"/>
        <v>3.3845117701197669</v>
      </c>
      <c r="CU213" s="45">
        <f t="shared" si="82"/>
        <v>0</v>
      </c>
      <c r="CV213" s="72">
        <f t="shared" si="83"/>
        <v>0</v>
      </c>
      <c r="CW213" s="72">
        <f t="shared" si="84"/>
        <v>0</v>
      </c>
      <c r="CX213" s="72">
        <f t="shared" si="85"/>
        <v>1145.4896127561362</v>
      </c>
      <c r="CY213" s="72">
        <f t="shared" si="86"/>
        <v>0</v>
      </c>
      <c r="CZ213" s="70">
        <f t="shared" si="87"/>
        <v>152350.11849656611</v>
      </c>
    </row>
    <row r="214" spans="80:104">
      <c r="CB214" s="63">
        <v>23</v>
      </c>
      <c r="CC214" s="63">
        <f>data!$K44</f>
        <v>42</v>
      </c>
      <c r="CD214" s="63">
        <f>data!$L44</f>
        <v>103</v>
      </c>
      <c r="CE214" s="70">
        <f t="shared" si="66"/>
        <v>4061.5384615384614</v>
      </c>
      <c r="CF214" s="71">
        <f t="shared" si="67"/>
        <v>1</v>
      </c>
      <c r="CG214" s="71">
        <f t="shared" si="68"/>
        <v>1</v>
      </c>
      <c r="CH214" s="72">
        <f t="shared" si="69"/>
        <v>5054.545454545455</v>
      </c>
      <c r="CI214" s="72">
        <f t="shared" si="70"/>
        <v>2366.7090909090912</v>
      </c>
      <c r="CJ214" s="72">
        <f t="shared" si="71"/>
        <v>2366.7090909090912</v>
      </c>
      <c r="CK214" s="70">
        <f t="shared" si="72"/>
        <v>418338.4615384615</v>
      </c>
      <c r="CL214" s="72">
        <f t="shared" si="73"/>
        <v>1730</v>
      </c>
      <c r="CM214" s="72">
        <f t="shared" si="74"/>
        <v>695.4545454545455</v>
      </c>
      <c r="CN214" s="72">
        <f t="shared" si="75"/>
        <v>695.4545454545455</v>
      </c>
      <c r="CO214" s="45">
        <f t="shared" si="76"/>
        <v>2.921702574881766</v>
      </c>
      <c r="CP214" s="45">
        <f t="shared" si="77"/>
        <v>3.4031111111111114</v>
      </c>
      <c r="CQ214" s="45">
        <f t="shared" si="78"/>
        <v>3.4031111111111114</v>
      </c>
      <c r="CR214" s="45">
        <f t="shared" si="79"/>
        <v>0</v>
      </c>
      <c r="CS214" s="45">
        <f t="shared" si="80"/>
        <v>0</v>
      </c>
      <c r="CT214" s="45">
        <f t="shared" si="81"/>
        <v>3.2265283350147325</v>
      </c>
      <c r="CU214" s="45">
        <f t="shared" si="82"/>
        <v>0</v>
      </c>
      <c r="CV214" s="72">
        <f t="shared" si="83"/>
        <v>0</v>
      </c>
      <c r="CW214" s="72">
        <f t="shared" si="84"/>
        <v>0</v>
      </c>
      <c r="CX214" s="72">
        <f t="shared" si="85"/>
        <v>1258.7952250293554</v>
      </c>
      <c r="CY214" s="72">
        <f t="shared" si="86"/>
        <v>0</v>
      </c>
      <c r="CZ214" s="70">
        <f t="shared" si="87"/>
        <v>129655.9081780236</v>
      </c>
    </row>
    <row r="215" spans="80:104">
      <c r="CB215" s="63">
        <v>24</v>
      </c>
      <c r="CC215" s="63">
        <f>data!$K45</f>
        <v>43</v>
      </c>
      <c r="CD215" s="63">
        <f>data!$L45</f>
        <v>73</v>
      </c>
      <c r="CE215" s="70">
        <f t="shared" si="66"/>
        <v>4246.1538461538457</v>
      </c>
      <c r="CF215" s="71">
        <f t="shared" si="67"/>
        <v>1</v>
      </c>
      <c r="CG215" s="71">
        <f t="shared" si="68"/>
        <v>1</v>
      </c>
      <c r="CH215" s="72">
        <f t="shared" si="69"/>
        <v>4990.909090909091</v>
      </c>
      <c r="CI215" s="72">
        <f t="shared" si="70"/>
        <v>2333.3818181818183</v>
      </c>
      <c r="CJ215" s="72">
        <f t="shared" si="71"/>
        <v>2333.3818181818183</v>
      </c>
      <c r="CK215" s="70">
        <f t="shared" si="72"/>
        <v>309969.23076923075</v>
      </c>
      <c r="CL215" s="72">
        <f t="shared" si="73"/>
        <v>1760</v>
      </c>
      <c r="CM215" s="72">
        <f t="shared" si="74"/>
        <v>709.09090909090912</v>
      </c>
      <c r="CN215" s="72">
        <f t="shared" si="75"/>
        <v>709.09090909090912</v>
      </c>
      <c r="CO215" s="45">
        <f t="shared" si="76"/>
        <v>2.8357438016528924</v>
      </c>
      <c r="CP215" s="45">
        <f t="shared" si="77"/>
        <v>3.2906666666666666</v>
      </c>
      <c r="CQ215" s="45">
        <f t="shared" si="78"/>
        <v>3.2906666666666666</v>
      </c>
      <c r="CR215" s="45">
        <f t="shared" si="79"/>
        <v>0</v>
      </c>
      <c r="CS215" s="45">
        <f t="shared" si="80"/>
        <v>0</v>
      </c>
      <c r="CT215" s="45">
        <f t="shared" si="81"/>
        <v>3.068544899909698</v>
      </c>
      <c r="CU215" s="45">
        <f t="shared" si="82"/>
        <v>0</v>
      </c>
      <c r="CV215" s="72">
        <f t="shared" si="83"/>
        <v>0</v>
      </c>
      <c r="CW215" s="72">
        <f t="shared" si="84"/>
        <v>0</v>
      </c>
      <c r="CX215" s="72">
        <f t="shared" si="85"/>
        <v>1383.7678719574228</v>
      </c>
      <c r="CY215" s="72">
        <f t="shared" si="86"/>
        <v>0</v>
      </c>
      <c r="CZ215" s="70">
        <f t="shared" si="87"/>
        <v>101015.05465289186</v>
      </c>
    </row>
    <row r="216" spans="80:104">
      <c r="CB216" s="63">
        <v>25</v>
      </c>
      <c r="CC216" s="63">
        <f>data!$K46</f>
        <v>44</v>
      </c>
      <c r="CD216" s="63">
        <f>data!$L46</f>
        <v>47</v>
      </c>
      <c r="CE216" s="70">
        <f t="shared" si="66"/>
        <v>4430.7692307692305</v>
      </c>
      <c r="CF216" s="71">
        <f t="shared" si="67"/>
        <v>1</v>
      </c>
      <c r="CG216" s="71">
        <f t="shared" si="68"/>
        <v>1</v>
      </c>
      <c r="CH216" s="72">
        <f t="shared" si="69"/>
        <v>4927.272727272727</v>
      </c>
      <c r="CI216" s="72">
        <f t="shared" si="70"/>
        <v>2300.0545454545454</v>
      </c>
      <c r="CJ216" s="72">
        <f t="shared" si="71"/>
        <v>2300.0545454545454</v>
      </c>
      <c r="CK216" s="70">
        <f t="shared" si="72"/>
        <v>208246.15384615384</v>
      </c>
      <c r="CL216" s="72">
        <f t="shared" si="73"/>
        <v>1790</v>
      </c>
      <c r="CM216" s="72">
        <f t="shared" si="74"/>
        <v>722.72727272727275</v>
      </c>
      <c r="CN216" s="72">
        <f t="shared" si="75"/>
        <v>722.72727272727275</v>
      </c>
      <c r="CO216" s="45">
        <f t="shared" si="76"/>
        <v>2.7526663280853225</v>
      </c>
      <c r="CP216" s="45">
        <f t="shared" si="77"/>
        <v>3.1824654088050313</v>
      </c>
      <c r="CQ216" s="45">
        <f t="shared" si="78"/>
        <v>3.1824654088050313</v>
      </c>
      <c r="CR216" s="45">
        <f t="shared" si="79"/>
        <v>0</v>
      </c>
      <c r="CS216" s="45">
        <f t="shared" si="80"/>
        <v>0</v>
      </c>
      <c r="CT216" s="45">
        <f t="shared" si="81"/>
        <v>2.9105614648046636</v>
      </c>
      <c r="CU216" s="45">
        <f t="shared" si="82"/>
        <v>0</v>
      </c>
      <c r="CV216" s="72">
        <f t="shared" si="83"/>
        <v>0</v>
      </c>
      <c r="CW216" s="72">
        <f t="shared" si="84"/>
        <v>0</v>
      </c>
      <c r="CX216" s="72">
        <f t="shared" si="85"/>
        <v>1522.3073913220358</v>
      </c>
      <c r="CY216" s="72">
        <f t="shared" si="86"/>
        <v>0</v>
      </c>
      <c r="CZ216" s="70">
        <f t="shared" si="87"/>
        <v>71548.447392135684</v>
      </c>
    </row>
    <row r="217" spans="80:104">
      <c r="CB217" s="63">
        <v>26</v>
      </c>
      <c r="CC217" s="63">
        <f>data!$K47</f>
        <v>45</v>
      </c>
      <c r="CD217" s="63">
        <f>data!$L47</f>
        <v>24</v>
      </c>
      <c r="CE217" s="70">
        <f t="shared" si="66"/>
        <v>4615.3846153846152</v>
      </c>
      <c r="CF217" s="71">
        <f t="shared" si="67"/>
        <v>1</v>
      </c>
      <c r="CG217" s="71">
        <f t="shared" si="68"/>
        <v>1</v>
      </c>
      <c r="CH217" s="72">
        <f t="shared" si="69"/>
        <v>4863.636363636364</v>
      </c>
      <c r="CI217" s="72">
        <f t="shared" si="70"/>
        <v>2266.727272727273</v>
      </c>
      <c r="CJ217" s="72">
        <f t="shared" si="71"/>
        <v>2266.727272727273</v>
      </c>
      <c r="CK217" s="70">
        <f t="shared" si="72"/>
        <v>110769.23076923077</v>
      </c>
      <c r="CL217" s="72">
        <f t="shared" si="73"/>
        <v>1820</v>
      </c>
      <c r="CM217" s="72">
        <f t="shared" si="74"/>
        <v>736.36363636363637</v>
      </c>
      <c r="CN217" s="72">
        <f t="shared" si="75"/>
        <v>736.36363636363637</v>
      </c>
      <c r="CO217" s="45">
        <f t="shared" si="76"/>
        <v>2.6723276723276723</v>
      </c>
      <c r="CP217" s="45">
        <f t="shared" si="77"/>
        <v>3.0782716049382719</v>
      </c>
      <c r="CQ217" s="45">
        <f t="shared" si="78"/>
        <v>3.0782716049382719</v>
      </c>
      <c r="CR217" s="45">
        <f t="shared" si="79"/>
        <v>0</v>
      </c>
      <c r="CS217" s="45">
        <f t="shared" si="80"/>
        <v>0</v>
      </c>
      <c r="CT217" s="45">
        <f t="shared" si="81"/>
        <v>2.7525780296996292</v>
      </c>
      <c r="CU217" s="45">
        <f t="shared" si="82"/>
        <v>0</v>
      </c>
      <c r="CV217" s="72">
        <f t="shared" si="83"/>
        <v>0</v>
      </c>
      <c r="CW217" s="72">
        <f t="shared" si="84"/>
        <v>0</v>
      </c>
      <c r="CX217" s="72">
        <f t="shared" si="85"/>
        <v>1676.7497835068682</v>
      </c>
      <c r="CY217" s="72">
        <f t="shared" si="86"/>
        <v>0</v>
      </c>
      <c r="CZ217" s="70">
        <f t="shared" si="87"/>
        <v>40241.994804164839</v>
      </c>
    </row>
    <row r="218" spans="80:104">
      <c r="CB218" s="63">
        <v>27</v>
      </c>
      <c r="CC218" s="63">
        <f>data!$K48</f>
        <v>46</v>
      </c>
      <c r="CD218" s="63">
        <f>data!$L48</f>
        <v>6</v>
      </c>
      <c r="CE218" s="70">
        <f t="shared" si="66"/>
        <v>4800</v>
      </c>
      <c r="CF218" s="71">
        <f t="shared" si="67"/>
        <v>1</v>
      </c>
      <c r="CG218" s="71">
        <f t="shared" si="68"/>
        <v>1</v>
      </c>
      <c r="CH218" s="72">
        <f t="shared" si="69"/>
        <v>4800</v>
      </c>
      <c r="CI218" s="72">
        <f t="shared" si="70"/>
        <v>2233.4</v>
      </c>
      <c r="CJ218" s="72">
        <f t="shared" si="71"/>
        <v>2233.4</v>
      </c>
      <c r="CK218" s="70">
        <f t="shared" si="72"/>
        <v>28800</v>
      </c>
      <c r="CL218" s="72">
        <f t="shared" si="73"/>
        <v>1850</v>
      </c>
      <c r="CM218" s="72">
        <f t="shared" si="74"/>
        <v>750</v>
      </c>
      <c r="CN218" s="72">
        <f t="shared" si="75"/>
        <v>750</v>
      </c>
      <c r="CO218" s="45">
        <f t="shared" si="76"/>
        <v>2.5945945945945947</v>
      </c>
      <c r="CP218" s="45">
        <f t="shared" si="77"/>
        <v>2.9778666666666669</v>
      </c>
      <c r="CQ218" s="45">
        <f t="shared" si="78"/>
        <v>2.9778666666666669</v>
      </c>
      <c r="CR218" s="45">
        <f t="shared" si="79"/>
        <v>0</v>
      </c>
      <c r="CS218" s="45">
        <f t="shared" si="80"/>
        <v>0</v>
      </c>
      <c r="CT218" s="45">
        <f t="shared" si="81"/>
        <v>2.5945945945945947</v>
      </c>
      <c r="CU218" s="45">
        <f t="shared" si="82"/>
        <v>0</v>
      </c>
      <c r="CV218" s="72">
        <f t="shared" si="83"/>
        <v>0</v>
      </c>
      <c r="CW218" s="72">
        <f t="shared" si="84"/>
        <v>0</v>
      </c>
      <c r="CX218" s="72">
        <f t="shared" si="85"/>
        <v>1850</v>
      </c>
      <c r="CY218" s="72">
        <f t="shared" si="86"/>
        <v>0</v>
      </c>
      <c r="CZ218" s="70">
        <f t="shared" si="87"/>
        <v>11100</v>
      </c>
    </row>
    <row r="219" spans="80:104">
      <c r="CB219" s="63">
        <v>28</v>
      </c>
      <c r="CC219" s="63">
        <f>data!$K49</f>
        <v>47</v>
      </c>
      <c r="CD219" s="63">
        <f>data!$L49</f>
        <v>0</v>
      </c>
      <c r="CE219" s="70">
        <f t="shared" si="66"/>
        <v>4984.6153846153848</v>
      </c>
      <c r="CF219" s="71">
        <f t="shared" si="67"/>
        <v>1</v>
      </c>
      <c r="CG219" s="71">
        <f t="shared" si="68"/>
        <v>1</v>
      </c>
      <c r="CH219" s="72">
        <f t="shared" si="69"/>
        <v>4736.363636363636</v>
      </c>
      <c r="CI219" s="72">
        <f t="shared" si="70"/>
        <v>2200.0727272727272</v>
      </c>
      <c r="CJ219" s="72">
        <f t="shared" si="71"/>
        <v>2200.0727272727272</v>
      </c>
      <c r="CK219" s="70">
        <f t="shared" si="72"/>
        <v>0</v>
      </c>
      <c r="CL219" s="72">
        <f t="shared" si="73"/>
        <v>1880</v>
      </c>
      <c r="CM219" s="72">
        <f t="shared" si="74"/>
        <v>763.63636363636363</v>
      </c>
      <c r="CN219" s="72">
        <f t="shared" si="75"/>
        <v>763.63636363636363</v>
      </c>
      <c r="CO219" s="45">
        <f t="shared" si="76"/>
        <v>2.5193423597678914</v>
      </c>
      <c r="CP219" s="45">
        <f t="shared" si="77"/>
        <v>2.8810476190476191</v>
      </c>
      <c r="CQ219" s="45">
        <f t="shared" si="78"/>
        <v>2.8810476190476191</v>
      </c>
      <c r="CR219" s="45">
        <f t="shared" si="79"/>
        <v>0</v>
      </c>
      <c r="CS219" s="45">
        <f t="shared" si="80"/>
        <v>0</v>
      </c>
      <c r="CT219" s="45">
        <f t="shared" si="81"/>
        <v>0</v>
      </c>
      <c r="CU219" s="45">
        <f t="shared" si="82"/>
        <v>2.5193423597678914</v>
      </c>
      <c r="CV219" s="72">
        <f t="shared" si="83"/>
        <v>0</v>
      </c>
      <c r="CW219" s="72">
        <f t="shared" si="84"/>
        <v>0</v>
      </c>
      <c r="CX219" s="72">
        <f t="shared" si="85"/>
        <v>0</v>
      </c>
      <c r="CY219" s="72">
        <f t="shared" si="86"/>
        <v>1880</v>
      </c>
      <c r="CZ219" s="70">
        <f t="shared" si="87"/>
        <v>0</v>
      </c>
    </row>
    <row r="220" spans="80:104">
      <c r="CB220" s="63">
        <v>29</v>
      </c>
      <c r="CC220" s="63">
        <f>data!$K50</f>
        <v>48</v>
      </c>
      <c r="CD220" s="63">
        <f>data!$L50</f>
        <v>0</v>
      </c>
      <c r="CE220" s="70">
        <f t="shared" si="66"/>
        <v>5169.2307692307695</v>
      </c>
      <c r="CF220" s="71">
        <f t="shared" si="67"/>
        <v>1</v>
      </c>
      <c r="CG220" s="71">
        <f t="shared" si="68"/>
        <v>1</v>
      </c>
      <c r="CH220" s="72">
        <f t="shared" si="69"/>
        <v>4672.727272727273</v>
      </c>
      <c r="CI220" s="72">
        <f t="shared" si="70"/>
        <v>2166.7454545454548</v>
      </c>
      <c r="CJ220" s="72">
        <f t="shared" si="71"/>
        <v>2166.7454545454548</v>
      </c>
      <c r="CK220" s="70">
        <f t="shared" si="72"/>
        <v>0</v>
      </c>
      <c r="CL220" s="72">
        <f t="shared" si="73"/>
        <v>1910</v>
      </c>
      <c r="CM220" s="72">
        <f t="shared" si="74"/>
        <v>777.27272727272725</v>
      </c>
      <c r="CN220" s="72">
        <f t="shared" si="75"/>
        <v>777.27272727272725</v>
      </c>
      <c r="CO220" s="45">
        <f t="shared" si="76"/>
        <v>2.4464540694907186</v>
      </c>
      <c r="CP220" s="45">
        <f t="shared" si="77"/>
        <v>2.7876257309941526</v>
      </c>
      <c r="CQ220" s="45">
        <f t="shared" si="78"/>
        <v>2.7876257309941526</v>
      </c>
      <c r="CR220" s="45">
        <f t="shared" si="79"/>
        <v>0</v>
      </c>
      <c r="CS220" s="45">
        <f t="shared" si="80"/>
        <v>0</v>
      </c>
      <c r="CT220" s="45">
        <f t="shared" si="81"/>
        <v>0</v>
      </c>
      <c r="CU220" s="45">
        <f t="shared" si="82"/>
        <v>2.4464540694907186</v>
      </c>
      <c r="CV220" s="72">
        <f t="shared" si="83"/>
        <v>0</v>
      </c>
      <c r="CW220" s="72">
        <f t="shared" si="84"/>
        <v>0</v>
      </c>
      <c r="CX220" s="72">
        <f t="shared" si="85"/>
        <v>0</v>
      </c>
      <c r="CY220" s="72">
        <f t="shared" si="86"/>
        <v>1910.0000000000002</v>
      </c>
      <c r="CZ220" s="70">
        <f t="shared" si="87"/>
        <v>0</v>
      </c>
    </row>
    <row r="221" spans="80:104">
      <c r="CB221" s="63">
        <v>30</v>
      </c>
      <c r="CC221" s="63">
        <f>data!$K51</f>
        <v>49</v>
      </c>
      <c r="CD221" s="63">
        <f>data!$L51</f>
        <v>0</v>
      </c>
      <c r="CE221" s="70">
        <f t="shared" si="66"/>
        <v>5353.8461538461543</v>
      </c>
      <c r="CF221" s="71">
        <f t="shared" si="67"/>
        <v>1</v>
      </c>
      <c r="CG221" s="71">
        <f t="shared" si="68"/>
        <v>1</v>
      </c>
      <c r="CH221" s="72">
        <f t="shared" si="69"/>
        <v>4609.090909090909</v>
      </c>
      <c r="CI221" s="72">
        <f t="shared" si="70"/>
        <v>2133.4181818181819</v>
      </c>
      <c r="CJ221" s="72">
        <f t="shared" si="71"/>
        <v>2133.4181818181819</v>
      </c>
      <c r="CK221" s="70">
        <f t="shared" si="72"/>
        <v>0</v>
      </c>
      <c r="CL221" s="72">
        <f t="shared" si="73"/>
        <v>1940</v>
      </c>
      <c r="CM221" s="72">
        <f t="shared" si="74"/>
        <v>790.90909090909088</v>
      </c>
      <c r="CN221" s="72">
        <f t="shared" si="75"/>
        <v>790.90909090909088</v>
      </c>
      <c r="CO221" s="45">
        <f t="shared" si="76"/>
        <v>2.3758200562324272</v>
      </c>
      <c r="CP221" s="45">
        <f t="shared" si="77"/>
        <v>2.6974252873563223</v>
      </c>
      <c r="CQ221" s="45">
        <f t="shared" si="78"/>
        <v>2.6974252873563223</v>
      </c>
      <c r="CR221" s="45">
        <f t="shared" si="79"/>
        <v>0</v>
      </c>
      <c r="CS221" s="45">
        <f t="shared" si="80"/>
        <v>0</v>
      </c>
      <c r="CT221" s="45">
        <f t="shared" si="81"/>
        <v>0</v>
      </c>
      <c r="CU221" s="45">
        <f t="shared" si="82"/>
        <v>2.3758200562324272</v>
      </c>
      <c r="CV221" s="72">
        <f t="shared" si="83"/>
        <v>0</v>
      </c>
      <c r="CW221" s="72">
        <f t="shared" si="84"/>
        <v>0</v>
      </c>
      <c r="CX221" s="72">
        <f t="shared" si="85"/>
        <v>0</v>
      </c>
      <c r="CY221" s="72">
        <f t="shared" si="86"/>
        <v>1940</v>
      </c>
      <c r="CZ221" s="70">
        <f t="shared" si="87"/>
        <v>0</v>
      </c>
    </row>
    <row r="222" spans="80:104">
      <c r="CB222" s="63">
        <v>31</v>
      </c>
      <c r="CC222" s="63">
        <f>data!$K52</f>
        <v>50</v>
      </c>
      <c r="CD222" s="63">
        <f>data!$L52</f>
        <v>0</v>
      </c>
      <c r="CE222" s="70">
        <f t="shared" si="66"/>
        <v>5538.4615384615381</v>
      </c>
      <c r="CF222" s="71">
        <f t="shared" si="67"/>
        <v>1</v>
      </c>
      <c r="CG222" s="71">
        <f t="shared" si="68"/>
        <v>1</v>
      </c>
      <c r="CH222" s="72">
        <f t="shared" si="69"/>
        <v>4545.454545454545</v>
      </c>
      <c r="CI222" s="72">
        <f t="shared" si="70"/>
        <v>2100.090909090909</v>
      </c>
      <c r="CJ222" s="72">
        <f t="shared" si="71"/>
        <v>2100.090909090909</v>
      </c>
      <c r="CK222" s="70">
        <f t="shared" si="72"/>
        <v>0</v>
      </c>
      <c r="CL222" s="72">
        <f t="shared" si="73"/>
        <v>1970</v>
      </c>
      <c r="CM222" s="72">
        <f t="shared" si="74"/>
        <v>804.5454545454545</v>
      </c>
      <c r="CN222" s="72">
        <f t="shared" si="75"/>
        <v>804.5454545454545</v>
      </c>
      <c r="CO222" s="45">
        <f t="shared" si="76"/>
        <v>2.3073373327180433</v>
      </c>
      <c r="CP222" s="45">
        <f t="shared" si="77"/>
        <v>2.6102824858757061</v>
      </c>
      <c r="CQ222" s="45">
        <f t="shared" si="78"/>
        <v>2.6102824858757061</v>
      </c>
      <c r="CR222" s="45">
        <f t="shared" si="79"/>
        <v>0</v>
      </c>
      <c r="CS222" s="45">
        <f t="shared" si="80"/>
        <v>0</v>
      </c>
      <c r="CT222" s="45">
        <f t="shared" si="81"/>
        <v>0</v>
      </c>
      <c r="CU222" s="45">
        <f t="shared" si="82"/>
        <v>2.3073373327180433</v>
      </c>
      <c r="CV222" s="72">
        <f t="shared" si="83"/>
        <v>0</v>
      </c>
      <c r="CW222" s="72">
        <f t="shared" si="84"/>
        <v>0</v>
      </c>
      <c r="CX222" s="72">
        <f t="shared" si="85"/>
        <v>0</v>
      </c>
      <c r="CY222" s="72">
        <f t="shared" si="86"/>
        <v>1969.9999999999998</v>
      </c>
      <c r="CZ222" s="70">
        <f t="shared" si="87"/>
        <v>0</v>
      </c>
    </row>
    <row r="223" spans="80:104">
      <c r="CB223" s="63"/>
      <c r="CC223" s="63"/>
      <c r="CD223" s="63">
        <f>SUM(CD192:CD222)</f>
        <v>6493</v>
      </c>
      <c r="CE223" s="63"/>
      <c r="CF223" s="63"/>
      <c r="CG223" s="63"/>
      <c r="CH223" s="63"/>
      <c r="CI223" s="63"/>
      <c r="CK223" s="62">
        <f>SUM(CK192:CK222)</f>
        <v>12655753.846153848</v>
      </c>
      <c r="CM223" s="44"/>
      <c r="CN223" s="44"/>
      <c r="CO223" s="44"/>
      <c r="CP223" s="44"/>
      <c r="CQ223" s="44"/>
      <c r="CR223" s="44"/>
      <c r="CS223" s="44"/>
      <c r="CT223" s="44"/>
      <c r="CU223" s="44"/>
      <c r="CV223" s="68"/>
      <c r="CW223" s="68"/>
      <c r="CX223" s="68"/>
      <c r="CZ223" s="77">
        <f>SUM(CZ192:CZ222)</f>
        <v>3094744.6450295118</v>
      </c>
    </row>
  </sheetData>
  <sheetProtection algorithmName="SHA-512" hashValue="fKXillGaxJYnIFI8U0a/PIiIWJZX2j+ECKCbDA1iE/Hxwp+1AbmWiS70JZm+cCkVosdMJrN/M6DGyeNreelphQ==" saltValue="K3iaOC2jMmYM39tIT0Dieg==" spinCount="100000" sheet="1" objects="1" scenarios="1"/>
  <dataConsolidate/>
  <mergeCells count="259">
    <mergeCell ref="U39:X39"/>
    <mergeCell ref="U38:X38"/>
    <mergeCell ref="L44:O44"/>
    <mergeCell ref="L41:O41"/>
    <mergeCell ref="P44:Q44"/>
    <mergeCell ref="L20:O20"/>
    <mergeCell ref="P47:Q47"/>
    <mergeCell ref="P38:Q38"/>
    <mergeCell ref="L46:O46"/>
    <mergeCell ref="L45:O45"/>
    <mergeCell ref="P34:Q34"/>
    <mergeCell ref="P33:Q33"/>
    <mergeCell ref="P32:Q32"/>
    <mergeCell ref="P24:Q24"/>
    <mergeCell ref="P23:Q23"/>
    <mergeCell ref="AX43:BB43"/>
    <mergeCell ref="AR43:AV43"/>
    <mergeCell ref="AC12:AF12"/>
    <mergeCell ref="AC13:AF13"/>
    <mergeCell ref="AC14:AF14"/>
    <mergeCell ref="AC15:AF15"/>
    <mergeCell ref="AC17:AF17"/>
    <mergeCell ref="Y40:AB40"/>
    <mergeCell ref="AR18:AV18"/>
    <mergeCell ref="Y38:AB38"/>
    <mergeCell ref="AK43:AP43"/>
    <mergeCell ref="AK32:AP32"/>
    <mergeCell ref="AK34:AP34"/>
    <mergeCell ref="AK35:AP35"/>
    <mergeCell ref="AR39:AV39"/>
    <mergeCell ref="AK38:AP38"/>
    <mergeCell ref="AK39:AP39"/>
    <mergeCell ref="AK40:AP40"/>
    <mergeCell ref="AK41:AP41"/>
    <mergeCell ref="AR36:AV36"/>
    <mergeCell ref="Y17:AB17"/>
    <mergeCell ref="Y12:AB12"/>
    <mergeCell ref="AQ22:BB23"/>
    <mergeCell ref="AQ24:BB25"/>
    <mergeCell ref="AK46:AP46"/>
    <mergeCell ref="AK42:AP42"/>
    <mergeCell ref="AC42:AF42"/>
    <mergeCell ref="Y14:AB14"/>
    <mergeCell ref="Y15:AB15"/>
    <mergeCell ref="P17:Q17"/>
    <mergeCell ref="P20:Q20"/>
    <mergeCell ref="AC38:AF38"/>
    <mergeCell ref="AC39:AF39"/>
    <mergeCell ref="Y37:AB37"/>
    <mergeCell ref="AC37:AF37"/>
    <mergeCell ref="AC40:AF40"/>
    <mergeCell ref="Y39:AB39"/>
    <mergeCell ref="Y42:AB42"/>
    <mergeCell ref="P45:Q45"/>
    <mergeCell ref="P46:Q46"/>
    <mergeCell ref="AK36:AP36"/>
    <mergeCell ref="AK18:AP18"/>
    <mergeCell ref="AK22:AP22"/>
    <mergeCell ref="AK23:AP23"/>
    <mergeCell ref="AK24:AP24"/>
    <mergeCell ref="AK25:AP25"/>
    <mergeCell ref="U42:X42"/>
    <mergeCell ref="U40:X40"/>
    <mergeCell ref="L54:O54"/>
    <mergeCell ref="L53:O53"/>
    <mergeCell ref="L52:O52"/>
    <mergeCell ref="L51:O51"/>
    <mergeCell ref="L50:O50"/>
    <mergeCell ref="L38:O38"/>
    <mergeCell ref="P41:Q41"/>
    <mergeCell ref="P40:Q40"/>
    <mergeCell ref="P50:Q50"/>
    <mergeCell ref="L39:O39"/>
    <mergeCell ref="L40:O40"/>
    <mergeCell ref="P54:Q54"/>
    <mergeCell ref="L47:O47"/>
    <mergeCell ref="H54:K54"/>
    <mergeCell ref="H53:K53"/>
    <mergeCell ref="H52:K52"/>
    <mergeCell ref="H51:K51"/>
    <mergeCell ref="H50:K50"/>
    <mergeCell ref="H47:K47"/>
    <mergeCell ref="H46:K46"/>
    <mergeCell ref="H45:K45"/>
    <mergeCell ref="H44:K44"/>
    <mergeCell ref="L8:O8"/>
    <mergeCell ref="H8:K8"/>
    <mergeCell ref="D54:G54"/>
    <mergeCell ref="D24:G24"/>
    <mergeCell ref="P21:Q21"/>
    <mergeCell ref="D45:G45"/>
    <mergeCell ref="D46:G46"/>
    <mergeCell ref="D47:G47"/>
    <mergeCell ref="P51:Q51"/>
    <mergeCell ref="P52:Q52"/>
    <mergeCell ref="P53:Q53"/>
    <mergeCell ref="D52:G52"/>
    <mergeCell ref="D53:G53"/>
    <mergeCell ref="D51:G51"/>
    <mergeCell ref="D21:G21"/>
    <mergeCell ref="D22:G22"/>
    <mergeCell ref="D23:G23"/>
    <mergeCell ref="P39:Q39"/>
    <mergeCell ref="P22:Q22"/>
    <mergeCell ref="H40:K40"/>
    <mergeCell ref="H39:K39"/>
    <mergeCell ref="D35:G35"/>
    <mergeCell ref="D39:G39"/>
    <mergeCell ref="D40:G40"/>
    <mergeCell ref="D11:G11"/>
    <mergeCell ref="P11:Q11"/>
    <mergeCell ref="D9:G9"/>
    <mergeCell ref="D10:G10"/>
    <mergeCell ref="P9:Q9"/>
    <mergeCell ref="P10:Q10"/>
    <mergeCell ref="P15:Q15"/>
    <mergeCell ref="L9:O9"/>
    <mergeCell ref="H11:K11"/>
    <mergeCell ref="H9:K9"/>
    <mergeCell ref="H10:K10"/>
    <mergeCell ref="H14:K14"/>
    <mergeCell ref="L15:O15"/>
    <mergeCell ref="L14:O14"/>
    <mergeCell ref="H15:K15"/>
    <mergeCell ref="L11:O11"/>
    <mergeCell ref="L10:O10"/>
    <mergeCell ref="P14:Q14"/>
    <mergeCell ref="D15:G15"/>
    <mergeCell ref="D41:G41"/>
    <mergeCell ref="H38:K38"/>
    <mergeCell ref="H24:K24"/>
    <mergeCell ref="L24:O24"/>
    <mergeCell ref="L23:O23"/>
    <mergeCell ref="L22:O22"/>
    <mergeCell ref="L21:O21"/>
    <mergeCell ref="H20:K20"/>
    <mergeCell ref="H21:K21"/>
    <mergeCell ref="H22:K22"/>
    <mergeCell ref="H23:K23"/>
    <mergeCell ref="H41:K41"/>
    <mergeCell ref="L35:O35"/>
    <mergeCell ref="L34:O34"/>
    <mergeCell ref="L33:O33"/>
    <mergeCell ref="L32:O32"/>
    <mergeCell ref="H35:K35"/>
    <mergeCell ref="H34:K34"/>
    <mergeCell ref="H33:K33"/>
    <mergeCell ref="H32:K32"/>
    <mergeCell ref="D33:G33"/>
    <mergeCell ref="D34:G34"/>
    <mergeCell ref="AK17:AP17"/>
    <mergeCell ref="D16:G16"/>
    <mergeCell ref="D17:G17"/>
    <mergeCell ref="P16:Q16"/>
    <mergeCell ref="Y13:AB13"/>
    <mergeCell ref="H16:K16"/>
    <mergeCell ref="H17:K17"/>
    <mergeCell ref="L17:O17"/>
    <mergeCell ref="L16:O16"/>
    <mergeCell ref="U13:X13"/>
    <mergeCell ref="U14:X14"/>
    <mergeCell ref="U15:X15"/>
    <mergeCell ref="U17:X17"/>
    <mergeCell ref="AK51:AP51"/>
    <mergeCell ref="A1:BD1"/>
    <mergeCell ref="A2:BD2"/>
    <mergeCell ref="AK52:AP52"/>
    <mergeCell ref="AK53:AP53"/>
    <mergeCell ref="AQ34:BB34"/>
    <mergeCell ref="AQ35:BB35"/>
    <mergeCell ref="AQ38:BB38"/>
    <mergeCell ref="AQ41:BB41"/>
    <mergeCell ref="AQ42:BB42"/>
    <mergeCell ref="AQ44:BB44"/>
    <mergeCell ref="AQ50:BB51"/>
    <mergeCell ref="AQ52:BB53"/>
    <mergeCell ref="AX36:BB36"/>
    <mergeCell ref="AX39:BB39"/>
    <mergeCell ref="AX40:BB40"/>
    <mergeCell ref="AX45:BB45"/>
    <mergeCell ref="AX46:BB46"/>
    <mergeCell ref="AR45:AV45"/>
    <mergeCell ref="AR46:AV46"/>
    <mergeCell ref="AK7:AP7"/>
    <mergeCell ref="AK9:AP9"/>
    <mergeCell ref="AK10:AP10"/>
    <mergeCell ref="AK11:AP11"/>
    <mergeCell ref="AR40:AV40"/>
    <mergeCell ref="P8:Q8"/>
    <mergeCell ref="AQ9:BB9"/>
    <mergeCell ref="AX17:BB17"/>
    <mergeCell ref="AR17:AV17"/>
    <mergeCell ref="AX18:BB18"/>
    <mergeCell ref="AK50:AP50"/>
    <mergeCell ref="AK13:AP13"/>
    <mergeCell ref="AK14:AP14"/>
    <mergeCell ref="AK15:AP15"/>
    <mergeCell ref="AK16:AP16"/>
    <mergeCell ref="AQ10:BB10"/>
    <mergeCell ref="AQ13:BB13"/>
    <mergeCell ref="AQ14:BB14"/>
    <mergeCell ref="AQ16:BB16"/>
    <mergeCell ref="AX11:BB11"/>
    <mergeCell ref="AR11:AV11"/>
    <mergeCell ref="AR15:AV15"/>
    <mergeCell ref="AX15:BB15"/>
    <mergeCell ref="P35:Q35"/>
    <mergeCell ref="AK44:AP44"/>
    <mergeCell ref="AK45:AP45"/>
    <mergeCell ref="AQ19:BB21"/>
    <mergeCell ref="AQ47:BB49"/>
    <mergeCell ref="CB15:CB16"/>
    <mergeCell ref="CD15:CD16"/>
    <mergeCell ref="CC15:CC16"/>
    <mergeCell ref="CZ16:CZ17"/>
    <mergeCell ref="CV15:CY15"/>
    <mergeCell ref="CL15:CN15"/>
    <mergeCell ref="CH15:CJ15"/>
    <mergeCell ref="CO15:CQ15"/>
    <mergeCell ref="CR15:CU15"/>
    <mergeCell ref="CK16:CK17"/>
    <mergeCell ref="CG16:CG17"/>
    <mergeCell ref="CF16:CF17"/>
    <mergeCell ref="CZ75:CZ76"/>
    <mergeCell ref="CB74:CB75"/>
    <mergeCell ref="CC74:CC75"/>
    <mergeCell ref="CD74:CD75"/>
    <mergeCell ref="CH74:CJ74"/>
    <mergeCell ref="CL74:CN74"/>
    <mergeCell ref="CO74:CQ74"/>
    <mergeCell ref="CR74:CU74"/>
    <mergeCell ref="CV74:CY74"/>
    <mergeCell ref="CF75:CF76"/>
    <mergeCell ref="CG75:CG76"/>
    <mergeCell ref="CK75:CK76"/>
    <mergeCell ref="CB129:CB130"/>
    <mergeCell ref="CD129:CD130"/>
    <mergeCell ref="CC129:CC130"/>
    <mergeCell ref="CK130:CK131"/>
    <mergeCell ref="CH129:CJ129"/>
    <mergeCell ref="CG130:CG131"/>
    <mergeCell ref="CF130:CF131"/>
    <mergeCell ref="CZ130:CZ131"/>
    <mergeCell ref="CL129:CN129"/>
    <mergeCell ref="CO129:CQ129"/>
    <mergeCell ref="CR129:CU129"/>
    <mergeCell ref="CV129:CY129"/>
    <mergeCell ref="CZ190:CZ191"/>
    <mergeCell ref="CB189:CB190"/>
    <mergeCell ref="CC189:CC190"/>
    <mergeCell ref="CD189:CD190"/>
    <mergeCell ref="CH189:CJ189"/>
    <mergeCell ref="CL189:CN189"/>
    <mergeCell ref="CO189:CQ189"/>
    <mergeCell ref="CR189:CU189"/>
    <mergeCell ref="CV189:CY189"/>
    <mergeCell ref="CF190:CF191"/>
    <mergeCell ref="CG190:CG191"/>
    <mergeCell ref="CK190:CK191"/>
  </mergeCells>
  <phoneticPr fontId="3"/>
  <conditionalFormatting sqref="AQ18:BB18">
    <cfRule type="expression" dxfId="68" priority="41">
      <formula>$BD$11="Measure"</formula>
    </cfRule>
  </conditionalFormatting>
  <conditionalFormatting sqref="AQ43:BB43">
    <cfRule type="expression" dxfId="67" priority="36">
      <formula>$BD$36="Measure"</formula>
    </cfRule>
  </conditionalFormatting>
  <conditionalFormatting sqref="H11:Q11">
    <cfRule type="expression" dxfId="66" priority="12">
      <formula>$BC$15=1</formula>
    </cfRule>
  </conditionalFormatting>
  <conditionalFormatting sqref="H16:Q16">
    <cfRule type="expression" dxfId="65" priority="11">
      <formula>$BC$17=1</formula>
    </cfRule>
  </conditionalFormatting>
  <conditionalFormatting sqref="H17:Q17">
    <cfRule type="expression" dxfId="64" priority="10">
      <formula>$BC$18=1</formula>
    </cfRule>
  </conditionalFormatting>
  <conditionalFormatting sqref="H34:Q34">
    <cfRule type="expression" dxfId="63" priority="9">
      <formula>$BC$39=1</formula>
    </cfRule>
  </conditionalFormatting>
  <conditionalFormatting sqref="H35:Q35">
    <cfRule type="expression" dxfId="62" priority="8">
      <formula>$BC$40=1</formula>
    </cfRule>
  </conditionalFormatting>
  <conditionalFormatting sqref="H41:Q41">
    <cfRule type="expression" dxfId="61" priority="7">
      <formula>$BC$43=1</formula>
    </cfRule>
  </conditionalFormatting>
  <conditionalFormatting sqref="H46:Q46">
    <cfRule type="expression" dxfId="60" priority="6">
      <formula>$BC$45=1</formula>
    </cfRule>
  </conditionalFormatting>
  <conditionalFormatting sqref="H47:Q47">
    <cfRule type="expression" dxfId="59" priority="5">
      <formula>$BC$46=1</formula>
    </cfRule>
  </conditionalFormatting>
  <conditionalFormatting sqref="AQ11:BB11 AQ15:BB15 AQ17:BB18">
    <cfRule type="expression" dxfId="58" priority="4">
      <formula>$BC$7=1</formula>
    </cfRule>
  </conditionalFormatting>
  <conditionalFormatting sqref="AQ15:BB15 AQ18:BB18">
    <cfRule type="expression" dxfId="57" priority="3">
      <formula>$BC$11=1</formula>
    </cfRule>
  </conditionalFormatting>
  <conditionalFormatting sqref="AQ36:BB36 AQ39:BB40 AQ43:BB43 AQ45:BB46">
    <cfRule type="expression" dxfId="56" priority="2">
      <formula>$BC$32=1</formula>
    </cfRule>
  </conditionalFormatting>
  <conditionalFormatting sqref="AQ40:BB40 AQ43:BB43 AQ46:BB46">
    <cfRule type="expression" dxfId="55" priority="1">
      <formula>$BC$36=1</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7" r:id="rId4" name="Option Button 53">
              <controlPr locked="0" defaultSize="0" autoFill="0" autoLine="0" autoPict="0" macro="[0]!Variable">
                <anchor moveWithCells="1">
                  <from>
                    <xdr:col>42</xdr:col>
                    <xdr:colOff>9525</xdr:colOff>
                    <xdr:row>5</xdr:row>
                    <xdr:rowOff>104775</xdr:rowOff>
                  </from>
                  <to>
                    <xdr:col>45</xdr:col>
                    <xdr:colOff>190500</xdr:colOff>
                    <xdr:row>7</xdr:row>
                    <xdr:rowOff>38100</xdr:rowOff>
                  </to>
                </anchor>
              </controlPr>
            </control>
          </mc:Choice>
        </mc:AlternateContent>
        <mc:AlternateContent xmlns:mc="http://schemas.openxmlformats.org/markup-compatibility/2006">
          <mc:Choice Requires="x14">
            <control shapeId="1078" r:id="rId5" name="Option Button 54">
              <controlPr locked="0" defaultSize="0" autoFill="0" autoLine="0" autoPict="0" macro="[0]!Variable">
                <anchor moveWithCells="1">
                  <from>
                    <xdr:col>48</xdr:col>
                    <xdr:colOff>9525</xdr:colOff>
                    <xdr:row>5</xdr:row>
                    <xdr:rowOff>104775</xdr:rowOff>
                  </from>
                  <to>
                    <xdr:col>51</xdr:col>
                    <xdr:colOff>190500</xdr:colOff>
                    <xdr:row>7</xdr:row>
                    <xdr:rowOff>38100</xdr:rowOff>
                  </to>
                </anchor>
              </controlPr>
            </control>
          </mc:Choice>
        </mc:AlternateContent>
        <mc:AlternateContent xmlns:mc="http://schemas.openxmlformats.org/markup-compatibility/2006">
          <mc:Choice Requires="x14">
            <control shapeId="1080" r:id="rId6" name="Group Box 56">
              <controlPr defaultSize="0" autoFill="0" autoPict="0">
                <anchor moveWithCells="1">
                  <from>
                    <xdr:col>41</xdr:col>
                    <xdr:colOff>123825</xdr:colOff>
                    <xdr:row>5</xdr:row>
                    <xdr:rowOff>38100</xdr:rowOff>
                  </from>
                  <to>
                    <xdr:col>54</xdr:col>
                    <xdr:colOff>114300</xdr:colOff>
                    <xdr:row>7</xdr:row>
                    <xdr:rowOff>95250</xdr:rowOff>
                  </to>
                </anchor>
              </controlPr>
            </control>
          </mc:Choice>
        </mc:AlternateContent>
        <mc:AlternateContent xmlns:mc="http://schemas.openxmlformats.org/markup-compatibility/2006">
          <mc:Choice Requires="x14">
            <control shapeId="1081" r:id="rId7" name="Option Button 57">
              <controlPr locked="0" defaultSize="0" autoFill="0" autoLine="0" autoPict="0" macro="[0]!Variable">
                <anchor moveWithCells="1">
                  <from>
                    <xdr:col>42</xdr:col>
                    <xdr:colOff>9525</xdr:colOff>
                    <xdr:row>9</xdr:row>
                    <xdr:rowOff>104775</xdr:rowOff>
                  </from>
                  <to>
                    <xdr:col>45</xdr:col>
                    <xdr:colOff>190500</xdr:colOff>
                    <xdr:row>11</xdr:row>
                    <xdr:rowOff>38100</xdr:rowOff>
                  </to>
                </anchor>
              </controlPr>
            </control>
          </mc:Choice>
        </mc:AlternateContent>
        <mc:AlternateContent xmlns:mc="http://schemas.openxmlformats.org/markup-compatibility/2006">
          <mc:Choice Requires="x14">
            <control shapeId="1082" r:id="rId8" name="Option Button 58">
              <controlPr locked="0" defaultSize="0" autoFill="0" autoLine="0" autoPict="0" macro="[0]!Variable">
                <anchor moveWithCells="1">
                  <from>
                    <xdr:col>48</xdr:col>
                    <xdr:colOff>9525</xdr:colOff>
                    <xdr:row>9</xdr:row>
                    <xdr:rowOff>104775</xdr:rowOff>
                  </from>
                  <to>
                    <xdr:col>51</xdr:col>
                    <xdr:colOff>190500</xdr:colOff>
                    <xdr:row>11</xdr:row>
                    <xdr:rowOff>38100</xdr:rowOff>
                  </to>
                </anchor>
              </controlPr>
            </control>
          </mc:Choice>
        </mc:AlternateContent>
        <mc:AlternateContent xmlns:mc="http://schemas.openxmlformats.org/markup-compatibility/2006">
          <mc:Choice Requires="x14">
            <control shapeId="1083" r:id="rId9" name="Group Box 59">
              <controlPr defaultSize="0" autoFill="0" autoPict="0">
                <anchor moveWithCells="1">
                  <from>
                    <xdr:col>41</xdr:col>
                    <xdr:colOff>19050</xdr:colOff>
                    <xdr:row>9</xdr:row>
                    <xdr:rowOff>28575</xdr:rowOff>
                  </from>
                  <to>
                    <xdr:col>54</xdr:col>
                    <xdr:colOff>95250</xdr:colOff>
                    <xdr:row>11</xdr:row>
                    <xdr:rowOff>114300</xdr:rowOff>
                  </to>
                </anchor>
              </controlPr>
            </control>
          </mc:Choice>
        </mc:AlternateContent>
        <mc:AlternateContent xmlns:mc="http://schemas.openxmlformats.org/markup-compatibility/2006">
          <mc:Choice Requires="x14">
            <control shapeId="1084" r:id="rId10" name="Option Button 60">
              <controlPr locked="0" defaultSize="0" autoFill="0" autoLine="0" autoPict="0">
                <anchor moveWithCells="1">
                  <from>
                    <xdr:col>42</xdr:col>
                    <xdr:colOff>9525</xdr:colOff>
                    <xdr:row>13</xdr:row>
                    <xdr:rowOff>95250</xdr:rowOff>
                  </from>
                  <to>
                    <xdr:col>46</xdr:col>
                    <xdr:colOff>0</xdr:colOff>
                    <xdr:row>15</xdr:row>
                    <xdr:rowOff>38100</xdr:rowOff>
                  </to>
                </anchor>
              </controlPr>
            </control>
          </mc:Choice>
        </mc:AlternateContent>
        <mc:AlternateContent xmlns:mc="http://schemas.openxmlformats.org/markup-compatibility/2006">
          <mc:Choice Requires="x14">
            <control shapeId="1085" r:id="rId11" name="Option Button 61">
              <controlPr locked="0" defaultSize="0" autoFill="0" autoLine="0" autoPict="0">
                <anchor moveWithCells="1">
                  <from>
                    <xdr:col>48</xdr:col>
                    <xdr:colOff>9525</xdr:colOff>
                    <xdr:row>13</xdr:row>
                    <xdr:rowOff>95250</xdr:rowOff>
                  </from>
                  <to>
                    <xdr:col>51</xdr:col>
                    <xdr:colOff>190500</xdr:colOff>
                    <xdr:row>15</xdr:row>
                    <xdr:rowOff>38100</xdr:rowOff>
                  </to>
                </anchor>
              </controlPr>
            </control>
          </mc:Choice>
        </mc:AlternateContent>
        <mc:AlternateContent xmlns:mc="http://schemas.openxmlformats.org/markup-compatibility/2006">
          <mc:Choice Requires="x14">
            <control shapeId="1086" r:id="rId12" name="Group Box 62">
              <controlPr defaultSize="0" autoFill="0" autoPict="0">
                <anchor moveWithCells="1">
                  <from>
                    <xdr:col>41</xdr:col>
                    <xdr:colOff>152400</xdr:colOff>
                    <xdr:row>13</xdr:row>
                    <xdr:rowOff>47625</xdr:rowOff>
                  </from>
                  <to>
                    <xdr:col>55</xdr:col>
                    <xdr:colOff>0</xdr:colOff>
                    <xdr:row>15</xdr:row>
                    <xdr:rowOff>95250</xdr:rowOff>
                  </to>
                </anchor>
              </controlPr>
            </control>
          </mc:Choice>
        </mc:AlternateContent>
        <mc:AlternateContent xmlns:mc="http://schemas.openxmlformats.org/markup-compatibility/2006">
          <mc:Choice Requires="x14">
            <control shapeId="1087" r:id="rId13" name="Option Button 63">
              <controlPr locked="0" defaultSize="0" autoFill="0" autoLine="0" autoPict="0">
                <anchor moveWithCells="1">
                  <from>
                    <xdr:col>42</xdr:col>
                    <xdr:colOff>9525</xdr:colOff>
                    <xdr:row>15</xdr:row>
                    <xdr:rowOff>95250</xdr:rowOff>
                  </from>
                  <to>
                    <xdr:col>46</xdr:col>
                    <xdr:colOff>0</xdr:colOff>
                    <xdr:row>17</xdr:row>
                    <xdr:rowOff>38100</xdr:rowOff>
                  </to>
                </anchor>
              </controlPr>
            </control>
          </mc:Choice>
        </mc:AlternateContent>
        <mc:AlternateContent xmlns:mc="http://schemas.openxmlformats.org/markup-compatibility/2006">
          <mc:Choice Requires="x14">
            <control shapeId="1088" r:id="rId14" name="Option Button 64">
              <controlPr locked="0" defaultSize="0" autoFill="0" autoLine="0" autoPict="0">
                <anchor moveWithCells="1">
                  <from>
                    <xdr:col>48</xdr:col>
                    <xdr:colOff>9525</xdr:colOff>
                    <xdr:row>15</xdr:row>
                    <xdr:rowOff>104775</xdr:rowOff>
                  </from>
                  <to>
                    <xdr:col>51</xdr:col>
                    <xdr:colOff>190500</xdr:colOff>
                    <xdr:row>17</xdr:row>
                    <xdr:rowOff>38100</xdr:rowOff>
                  </to>
                </anchor>
              </controlPr>
            </control>
          </mc:Choice>
        </mc:AlternateContent>
        <mc:AlternateContent xmlns:mc="http://schemas.openxmlformats.org/markup-compatibility/2006">
          <mc:Choice Requires="x14">
            <control shapeId="1089" r:id="rId15" name="Group Box 65">
              <controlPr defaultSize="0" autoFill="0" autoPict="0">
                <anchor moveWithCells="1">
                  <from>
                    <xdr:col>41</xdr:col>
                    <xdr:colOff>123825</xdr:colOff>
                    <xdr:row>15</xdr:row>
                    <xdr:rowOff>95250</xdr:rowOff>
                  </from>
                  <to>
                    <xdr:col>54</xdr:col>
                    <xdr:colOff>114300</xdr:colOff>
                    <xdr:row>17</xdr:row>
                    <xdr:rowOff>76200</xdr:rowOff>
                  </to>
                </anchor>
              </controlPr>
            </control>
          </mc:Choice>
        </mc:AlternateContent>
        <mc:AlternateContent xmlns:mc="http://schemas.openxmlformats.org/markup-compatibility/2006">
          <mc:Choice Requires="x14">
            <control shapeId="1090" r:id="rId16" name="Option Button 66">
              <controlPr locked="0" defaultSize="0" autoFill="0" autoLine="0" autoPict="0">
                <anchor moveWithCells="1">
                  <from>
                    <xdr:col>42</xdr:col>
                    <xdr:colOff>9525</xdr:colOff>
                    <xdr:row>16</xdr:row>
                    <xdr:rowOff>104775</xdr:rowOff>
                  </from>
                  <to>
                    <xdr:col>46</xdr:col>
                    <xdr:colOff>0</xdr:colOff>
                    <xdr:row>18</xdr:row>
                    <xdr:rowOff>38100</xdr:rowOff>
                  </to>
                </anchor>
              </controlPr>
            </control>
          </mc:Choice>
        </mc:AlternateContent>
        <mc:AlternateContent xmlns:mc="http://schemas.openxmlformats.org/markup-compatibility/2006">
          <mc:Choice Requires="x14">
            <control shapeId="1091" r:id="rId17" name="Option Button 67">
              <controlPr locked="0" defaultSize="0" autoFill="0" autoLine="0" autoPict="0">
                <anchor moveWithCells="1">
                  <from>
                    <xdr:col>48</xdr:col>
                    <xdr:colOff>9525</xdr:colOff>
                    <xdr:row>16</xdr:row>
                    <xdr:rowOff>104775</xdr:rowOff>
                  </from>
                  <to>
                    <xdr:col>51</xdr:col>
                    <xdr:colOff>190500</xdr:colOff>
                    <xdr:row>18</xdr:row>
                    <xdr:rowOff>38100</xdr:rowOff>
                  </to>
                </anchor>
              </controlPr>
            </control>
          </mc:Choice>
        </mc:AlternateContent>
        <mc:AlternateContent xmlns:mc="http://schemas.openxmlformats.org/markup-compatibility/2006">
          <mc:Choice Requires="x14">
            <control shapeId="1092" r:id="rId18" name="Group Box 68">
              <controlPr defaultSize="0" autoFill="0" autoPict="0">
                <anchor moveWithCells="1">
                  <from>
                    <xdr:col>41</xdr:col>
                    <xdr:colOff>142875</xdr:colOff>
                    <xdr:row>16</xdr:row>
                    <xdr:rowOff>66675</xdr:rowOff>
                  </from>
                  <to>
                    <xdr:col>54</xdr:col>
                    <xdr:colOff>95250</xdr:colOff>
                    <xdr:row>18</xdr:row>
                    <xdr:rowOff>133350</xdr:rowOff>
                  </to>
                </anchor>
              </controlPr>
            </control>
          </mc:Choice>
        </mc:AlternateContent>
        <mc:AlternateContent xmlns:mc="http://schemas.openxmlformats.org/markup-compatibility/2006">
          <mc:Choice Requires="x14">
            <control shapeId="1093" r:id="rId19" name="Option Button 69">
              <controlPr locked="0" defaultSize="0" autoFill="0" autoLine="0" autoPict="0" macro="[0]!Variable">
                <anchor moveWithCells="1">
                  <from>
                    <xdr:col>42</xdr:col>
                    <xdr:colOff>9525</xdr:colOff>
                    <xdr:row>30</xdr:row>
                    <xdr:rowOff>104775</xdr:rowOff>
                  </from>
                  <to>
                    <xdr:col>45</xdr:col>
                    <xdr:colOff>190500</xdr:colOff>
                    <xdr:row>32</xdr:row>
                    <xdr:rowOff>38100</xdr:rowOff>
                  </to>
                </anchor>
              </controlPr>
            </control>
          </mc:Choice>
        </mc:AlternateContent>
        <mc:AlternateContent xmlns:mc="http://schemas.openxmlformats.org/markup-compatibility/2006">
          <mc:Choice Requires="x14">
            <control shapeId="1094" r:id="rId20" name="Option Button 70">
              <controlPr locked="0" defaultSize="0" autoFill="0" autoLine="0" autoPict="0" macro="[0]!Variable">
                <anchor moveWithCells="1">
                  <from>
                    <xdr:col>48</xdr:col>
                    <xdr:colOff>9525</xdr:colOff>
                    <xdr:row>30</xdr:row>
                    <xdr:rowOff>95250</xdr:rowOff>
                  </from>
                  <to>
                    <xdr:col>51</xdr:col>
                    <xdr:colOff>190500</xdr:colOff>
                    <xdr:row>32</xdr:row>
                    <xdr:rowOff>38100</xdr:rowOff>
                  </to>
                </anchor>
              </controlPr>
            </control>
          </mc:Choice>
        </mc:AlternateContent>
        <mc:AlternateContent xmlns:mc="http://schemas.openxmlformats.org/markup-compatibility/2006">
          <mc:Choice Requires="x14">
            <control shapeId="1095" r:id="rId21" name="Group Box 71">
              <controlPr defaultSize="0" autoFill="0" autoPict="0">
                <anchor moveWithCells="1">
                  <from>
                    <xdr:col>41</xdr:col>
                    <xdr:colOff>123825</xdr:colOff>
                    <xdr:row>30</xdr:row>
                    <xdr:rowOff>38100</xdr:rowOff>
                  </from>
                  <to>
                    <xdr:col>54</xdr:col>
                    <xdr:colOff>76200</xdr:colOff>
                    <xdr:row>32</xdr:row>
                    <xdr:rowOff>95250</xdr:rowOff>
                  </to>
                </anchor>
              </controlPr>
            </control>
          </mc:Choice>
        </mc:AlternateContent>
        <mc:AlternateContent xmlns:mc="http://schemas.openxmlformats.org/markup-compatibility/2006">
          <mc:Choice Requires="x14">
            <control shapeId="1096" r:id="rId22" name="Option Button 72">
              <controlPr locked="0" defaultSize="0" autoFill="0" autoLine="0" autoPict="0" macro="[0]!Variable">
                <anchor moveWithCells="1">
                  <from>
                    <xdr:col>42</xdr:col>
                    <xdr:colOff>9525</xdr:colOff>
                    <xdr:row>34</xdr:row>
                    <xdr:rowOff>104775</xdr:rowOff>
                  </from>
                  <to>
                    <xdr:col>46</xdr:col>
                    <xdr:colOff>0</xdr:colOff>
                    <xdr:row>36</xdr:row>
                    <xdr:rowOff>38100</xdr:rowOff>
                  </to>
                </anchor>
              </controlPr>
            </control>
          </mc:Choice>
        </mc:AlternateContent>
        <mc:AlternateContent xmlns:mc="http://schemas.openxmlformats.org/markup-compatibility/2006">
          <mc:Choice Requires="x14">
            <control shapeId="1097" r:id="rId23" name="Option Button 73">
              <controlPr locked="0" defaultSize="0" autoFill="0" autoLine="0" autoPict="0" macro="[0]!Variable">
                <anchor moveWithCells="1">
                  <from>
                    <xdr:col>48</xdr:col>
                    <xdr:colOff>9525</xdr:colOff>
                    <xdr:row>34</xdr:row>
                    <xdr:rowOff>104775</xdr:rowOff>
                  </from>
                  <to>
                    <xdr:col>51</xdr:col>
                    <xdr:colOff>190500</xdr:colOff>
                    <xdr:row>36</xdr:row>
                    <xdr:rowOff>38100</xdr:rowOff>
                  </to>
                </anchor>
              </controlPr>
            </control>
          </mc:Choice>
        </mc:AlternateContent>
        <mc:AlternateContent xmlns:mc="http://schemas.openxmlformats.org/markup-compatibility/2006">
          <mc:Choice Requires="x14">
            <control shapeId="1098" r:id="rId24" name="Group Box 74">
              <controlPr defaultSize="0" autoFill="0" autoPict="0">
                <anchor moveWithCells="1">
                  <from>
                    <xdr:col>41</xdr:col>
                    <xdr:colOff>114300</xdr:colOff>
                    <xdr:row>34</xdr:row>
                    <xdr:rowOff>38100</xdr:rowOff>
                  </from>
                  <to>
                    <xdr:col>54</xdr:col>
                    <xdr:colOff>19050</xdr:colOff>
                    <xdr:row>36</xdr:row>
                    <xdr:rowOff>76200</xdr:rowOff>
                  </to>
                </anchor>
              </controlPr>
            </control>
          </mc:Choice>
        </mc:AlternateContent>
        <mc:AlternateContent xmlns:mc="http://schemas.openxmlformats.org/markup-compatibility/2006">
          <mc:Choice Requires="x14">
            <control shapeId="1099" r:id="rId25" name="Option Button 75">
              <controlPr locked="0" defaultSize="0" autoFill="0" autoLine="0" autoPict="0">
                <anchor moveWithCells="1">
                  <from>
                    <xdr:col>42</xdr:col>
                    <xdr:colOff>9525</xdr:colOff>
                    <xdr:row>37</xdr:row>
                    <xdr:rowOff>95250</xdr:rowOff>
                  </from>
                  <to>
                    <xdr:col>45</xdr:col>
                    <xdr:colOff>190500</xdr:colOff>
                    <xdr:row>39</xdr:row>
                    <xdr:rowOff>38100</xdr:rowOff>
                  </to>
                </anchor>
              </controlPr>
            </control>
          </mc:Choice>
        </mc:AlternateContent>
        <mc:AlternateContent xmlns:mc="http://schemas.openxmlformats.org/markup-compatibility/2006">
          <mc:Choice Requires="x14">
            <control shapeId="1100" r:id="rId26" name="Option Button 76">
              <controlPr locked="0" defaultSize="0" autoFill="0" autoLine="0" autoPict="0">
                <anchor moveWithCells="1">
                  <from>
                    <xdr:col>48</xdr:col>
                    <xdr:colOff>9525</xdr:colOff>
                    <xdr:row>37</xdr:row>
                    <xdr:rowOff>95250</xdr:rowOff>
                  </from>
                  <to>
                    <xdr:col>51</xdr:col>
                    <xdr:colOff>190500</xdr:colOff>
                    <xdr:row>39</xdr:row>
                    <xdr:rowOff>38100</xdr:rowOff>
                  </to>
                </anchor>
              </controlPr>
            </control>
          </mc:Choice>
        </mc:AlternateContent>
        <mc:AlternateContent xmlns:mc="http://schemas.openxmlformats.org/markup-compatibility/2006">
          <mc:Choice Requires="x14">
            <control shapeId="1101" r:id="rId27" name="Group Box 77">
              <controlPr defaultSize="0" autoFill="0" autoPict="0">
                <anchor moveWithCells="1">
                  <from>
                    <xdr:col>41</xdr:col>
                    <xdr:colOff>114300</xdr:colOff>
                    <xdr:row>37</xdr:row>
                    <xdr:rowOff>28575</xdr:rowOff>
                  </from>
                  <to>
                    <xdr:col>54</xdr:col>
                    <xdr:colOff>19050</xdr:colOff>
                    <xdr:row>39</xdr:row>
                    <xdr:rowOff>95250</xdr:rowOff>
                  </to>
                </anchor>
              </controlPr>
            </control>
          </mc:Choice>
        </mc:AlternateContent>
        <mc:AlternateContent xmlns:mc="http://schemas.openxmlformats.org/markup-compatibility/2006">
          <mc:Choice Requires="x14">
            <control shapeId="1102" r:id="rId28" name="Option Button 78">
              <controlPr locked="0" defaultSize="0" autoFill="0" autoLine="0" autoPict="0">
                <anchor moveWithCells="1">
                  <from>
                    <xdr:col>42</xdr:col>
                    <xdr:colOff>9525</xdr:colOff>
                    <xdr:row>38</xdr:row>
                    <xdr:rowOff>104775</xdr:rowOff>
                  </from>
                  <to>
                    <xdr:col>45</xdr:col>
                    <xdr:colOff>190500</xdr:colOff>
                    <xdr:row>40</xdr:row>
                    <xdr:rowOff>57150</xdr:rowOff>
                  </to>
                </anchor>
              </controlPr>
            </control>
          </mc:Choice>
        </mc:AlternateContent>
        <mc:AlternateContent xmlns:mc="http://schemas.openxmlformats.org/markup-compatibility/2006">
          <mc:Choice Requires="x14">
            <control shapeId="1103" r:id="rId29" name="Option Button 79">
              <controlPr locked="0" defaultSize="0" autoFill="0" autoLine="0" autoPict="0">
                <anchor moveWithCells="1">
                  <from>
                    <xdr:col>48</xdr:col>
                    <xdr:colOff>9525</xdr:colOff>
                    <xdr:row>38</xdr:row>
                    <xdr:rowOff>104775</xdr:rowOff>
                  </from>
                  <to>
                    <xdr:col>51</xdr:col>
                    <xdr:colOff>190500</xdr:colOff>
                    <xdr:row>40</xdr:row>
                    <xdr:rowOff>38100</xdr:rowOff>
                  </to>
                </anchor>
              </controlPr>
            </control>
          </mc:Choice>
        </mc:AlternateContent>
        <mc:AlternateContent xmlns:mc="http://schemas.openxmlformats.org/markup-compatibility/2006">
          <mc:Choice Requires="x14">
            <control shapeId="1104" r:id="rId30" name="Group Box 80">
              <controlPr defaultSize="0" autoFill="0" autoPict="0">
                <anchor moveWithCells="1">
                  <from>
                    <xdr:col>41</xdr:col>
                    <xdr:colOff>142875</xdr:colOff>
                    <xdr:row>38</xdr:row>
                    <xdr:rowOff>76200</xdr:rowOff>
                  </from>
                  <to>
                    <xdr:col>54</xdr:col>
                    <xdr:colOff>152400</xdr:colOff>
                    <xdr:row>40</xdr:row>
                    <xdr:rowOff>76200</xdr:rowOff>
                  </to>
                </anchor>
              </controlPr>
            </control>
          </mc:Choice>
        </mc:AlternateContent>
        <mc:AlternateContent xmlns:mc="http://schemas.openxmlformats.org/markup-compatibility/2006">
          <mc:Choice Requires="x14">
            <control shapeId="1105" r:id="rId31" name="Option Button 81">
              <controlPr locked="0" defaultSize="0" autoFill="0" autoLine="0" autoPict="0">
                <anchor moveWithCells="1">
                  <from>
                    <xdr:col>42</xdr:col>
                    <xdr:colOff>9525</xdr:colOff>
                    <xdr:row>41</xdr:row>
                    <xdr:rowOff>95250</xdr:rowOff>
                  </from>
                  <to>
                    <xdr:col>45</xdr:col>
                    <xdr:colOff>190500</xdr:colOff>
                    <xdr:row>43</xdr:row>
                    <xdr:rowOff>38100</xdr:rowOff>
                  </to>
                </anchor>
              </controlPr>
            </control>
          </mc:Choice>
        </mc:AlternateContent>
        <mc:AlternateContent xmlns:mc="http://schemas.openxmlformats.org/markup-compatibility/2006">
          <mc:Choice Requires="x14">
            <control shapeId="1106" r:id="rId32" name="Option Button 82">
              <controlPr locked="0" defaultSize="0" autoFill="0" autoLine="0" autoPict="0">
                <anchor moveWithCells="1">
                  <from>
                    <xdr:col>48</xdr:col>
                    <xdr:colOff>9525</xdr:colOff>
                    <xdr:row>41</xdr:row>
                    <xdr:rowOff>95250</xdr:rowOff>
                  </from>
                  <to>
                    <xdr:col>51</xdr:col>
                    <xdr:colOff>190500</xdr:colOff>
                    <xdr:row>43</xdr:row>
                    <xdr:rowOff>38100</xdr:rowOff>
                  </to>
                </anchor>
              </controlPr>
            </control>
          </mc:Choice>
        </mc:AlternateContent>
        <mc:AlternateContent xmlns:mc="http://schemas.openxmlformats.org/markup-compatibility/2006">
          <mc:Choice Requires="x14">
            <control shapeId="1107" r:id="rId33" name="Group Box 83">
              <controlPr defaultSize="0" autoFill="0" autoPict="0">
                <anchor moveWithCells="1">
                  <from>
                    <xdr:col>40</xdr:col>
                    <xdr:colOff>180975</xdr:colOff>
                    <xdr:row>41</xdr:row>
                    <xdr:rowOff>47625</xdr:rowOff>
                  </from>
                  <to>
                    <xdr:col>54</xdr:col>
                    <xdr:colOff>95250</xdr:colOff>
                    <xdr:row>43</xdr:row>
                    <xdr:rowOff>95250</xdr:rowOff>
                  </to>
                </anchor>
              </controlPr>
            </control>
          </mc:Choice>
        </mc:AlternateContent>
        <mc:AlternateContent xmlns:mc="http://schemas.openxmlformats.org/markup-compatibility/2006">
          <mc:Choice Requires="x14">
            <control shapeId="1108" r:id="rId34" name="Option Button 84">
              <controlPr locked="0" defaultSize="0" autoFill="0" autoLine="0" autoPict="0">
                <anchor moveWithCells="1">
                  <from>
                    <xdr:col>42</xdr:col>
                    <xdr:colOff>9525</xdr:colOff>
                    <xdr:row>43</xdr:row>
                    <xdr:rowOff>95250</xdr:rowOff>
                  </from>
                  <to>
                    <xdr:col>45</xdr:col>
                    <xdr:colOff>190500</xdr:colOff>
                    <xdr:row>45</xdr:row>
                    <xdr:rowOff>38100</xdr:rowOff>
                  </to>
                </anchor>
              </controlPr>
            </control>
          </mc:Choice>
        </mc:AlternateContent>
        <mc:AlternateContent xmlns:mc="http://schemas.openxmlformats.org/markup-compatibility/2006">
          <mc:Choice Requires="x14">
            <control shapeId="1109" r:id="rId35" name="Option Button 85">
              <controlPr locked="0" defaultSize="0" autoFill="0" autoLine="0" autoPict="0">
                <anchor moveWithCells="1">
                  <from>
                    <xdr:col>48</xdr:col>
                    <xdr:colOff>9525</xdr:colOff>
                    <xdr:row>43</xdr:row>
                    <xdr:rowOff>104775</xdr:rowOff>
                  </from>
                  <to>
                    <xdr:col>51</xdr:col>
                    <xdr:colOff>190500</xdr:colOff>
                    <xdr:row>45</xdr:row>
                    <xdr:rowOff>38100</xdr:rowOff>
                  </to>
                </anchor>
              </controlPr>
            </control>
          </mc:Choice>
        </mc:AlternateContent>
        <mc:AlternateContent xmlns:mc="http://schemas.openxmlformats.org/markup-compatibility/2006">
          <mc:Choice Requires="x14">
            <control shapeId="1111" r:id="rId36" name="Group Box 87">
              <controlPr defaultSize="0" autoFill="0" autoPict="0">
                <anchor moveWithCells="1">
                  <from>
                    <xdr:col>41</xdr:col>
                    <xdr:colOff>123825</xdr:colOff>
                    <xdr:row>43</xdr:row>
                    <xdr:rowOff>57150</xdr:rowOff>
                  </from>
                  <to>
                    <xdr:col>55</xdr:col>
                    <xdr:colOff>19050</xdr:colOff>
                    <xdr:row>45</xdr:row>
                    <xdr:rowOff>76200</xdr:rowOff>
                  </to>
                </anchor>
              </controlPr>
            </control>
          </mc:Choice>
        </mc:AlternateContent>
        <mc:AlternateContent xmlns:mc="http://schemas.openxmlformats.org/markup-compatibility/2006">
          <mc:Choice Requires="x14">
            <control shapeId="1112" r:id="rId37" name="Option Button 88">
              <controlPr locked="0" defaultSize="0" autoFill="0" autoLine="0" autoPict="0">
                <anchor moveWithCells="1">
                  <from>
                    <xdr:col>42</xdr:col>
                    <xdr:colOff>9525</xdr:colOff>
                    <xdr:row>44</xdr:row>
                    <xdr:rowOff>114300</xdr:rowOff>
                  </from>
                  <to>
                    <xdr:col>46</xdr:col>
                    <xdr:colOff>0</xdr:colOff>
                    <xdr:row>46</xdr:row>
                    <xdr:rowOff>57150</xdr:rowOff>
                  </to>
                </anchor>
              </controlPr>
            </control>
          </mc:Choice>
        </mc:AlternateContent>
        <mc:AlternateContent xmlns:mc="http://schemas.openxmlformats.org/markup-compatibility/2006">
          <mc:Choice Requires="x14">
            <control shapeId="1113" r:id="rId38" name="Option Button 89">
              <controlPr locked="0" defaultSize="0" autoFill="0" autoLine="0" autoPict="0">
                <anchor moveWithCells="1">
                  <from>
                    <xdr:col>48</xdr:col>
                    <xdr:colOff>9525</xdr:colOff>
                    <xdr:row>44</xdr:row>
                    <xdr:rowOff>104775</xdr:rowOff>
                  </from>
                  <to>
                    <xdr:col>51</xdr:col>
                    <xdr:colOff>190500</xdr:colOff>
                    <xdr:row>46</xdr:row>
                    <xdr:rowOff>57150</xdr:rowOff>
                  </to>
                </anchor>
              </controlPr>
            </control>
          </mc:Choice>
        </mc:AlternateContent>
        <mc:AlternateContent xmlns:mc="http://schemas.openxmlformats.org/markup-compatibility/2006">
          <mc:Choice Requires="x14">
            <control shapeId="1114" r:id="rId39" name="Group Box 90">
              <controlPr defaultSize="0" autoFill="0" autoPict="0">
                <anchor moveWithCells="1">
                  <from>
                    <xdr:col>41</xdr:col>
                    <xdr:colOff>66675</xdr:colOff>
                    <xdr:row>44</xdr:row>
                    <xdr:rowOff>57150</xdr:rowOff>
                  </from>
                  <to>
                    <xdr:col>54</xdr:col>
                    <xdr:colOff>152400</xdr:colOff>
                    <xdr:row>46</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CX223"/>
  <sheetViews>
    <sheetView zoomScaleNormal="100" workbookViewId="0">
      <selection activeCell="BP41" sqref="BP41"/>
    </sheetView>
  </sheetViews>
  <sheetFormatPr defaultColWidth="9" defaultRowHeight="14.25"/>
  <cols>
    <col min="1" max="52" width="2.75" style="35" customWidth="1"/>
    <col min="53" max="78" width="2.625" style="35" customWidth="1"/>
    <col min="79" max="102" width="12.75" style="29" customWidth="1"/>
    <col min="103" max="156" width="12.75" style="35" customWidth="1"/>
    <col min="157" max="16384" width="9" style="35"/>
  </cols>
  <sheetData>
    <row r="1" spans="1:102" s="27" customFormat="1" ht="24.75" customHeight="1">
      <c r="A1" s="115" t="str">
        <f>'Variable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71</v>
      </c>
      <c r="CB1" s="29"/>
      <c r="CC1" s="29"/>
      <c r="CD1" s="29"/>
      <c r="CE1" s="29"/>
      <c r="CF1" s="29" t="str">
        <f>data!$D$7</f>
        <v>International</v>
      </c>
      <c r="CG1" s="29"/>
      <c r="CH1" s="29"/>
      <c r="CI1" s="29"/>
      <c r="CJ1" s="29"/>
      <c r="CK1" s="29"/>
      <c r="CL1" s="30"/>
      <c r="CM1" s="29"/>
      <c r="CN1" s="29"/>
      <c r="CO1" s="29"/>
      <c r="CP1" s="29"/>
      <c r="CQ1" s="29"/>
      <c r="CR1" s="29"/>
      <c r="CS1" s="29"/>
      <c r="CT1" s="29"/>
      <c r="CU1" s="29"/>
      <c r="CV1" s="29"/>
      <c r="CW1" s="29"/>
      <c r="CX1" s="29"/>
    </row>
    <row r="2" spans="1:102" s="27" customFormat="1" ht="24.75" customHeight="1">
      <c r="A2" s="116" t="s">
        <v>65</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c r="CT2" s="29"/>
      <c r="CU2" s="29"/>
      <c r="CV2" s="29"/>
      <c r="CW2" s="29"/>
      <c r="CX2" s="29"/>
    </row>
    <row r="3" spans="1:102"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8"/>
      <c r="BD3" s="78"/>
      <c r="BE3" s="35"/>
      <c r="BF3" s="35"/>
      <c r="BG3" s="35"/>
      <c r="BH3" s="35"/>
      <c r="BI3" s="35"/>
      <c r="BJ3" s="35"/>
      <c r="BK3" s="35"/>
      <c r="BL3" s="35"/>
      <c r="BM3" s="82"/>
      <c r="BN3" s="35"/>
      <c r="BO3" s="35"/>
      <c r="CA3" s="28"/>
      <c r="CB3" s="37" t="s">
        <v>204</v>
      </c>
      <c r="CC3" s="38">
        <f>'Multi-stage Capacity unit'!$H$9</f>
        <v>5500</v>
      </c>
      <c r="CD3" s="39"/>
      <c r="CE3" s="40" t="s">
        <v>0</v>
      </c>
      <c r="CF3" s="41">
        <f>$CM$49/$CX$49</f>
        <v>4.7499252013146904</v>
      </c>
      <c r="CG3" s="29"/>
      <c r="CH3" s="29"/>
      <c r="CI3" s="29"/>
      <c r="CJ3" s="42"/>
      <c r="CK3" s="29"/>
      <c r="CL3" s="43"/>
      <c r="CM3" s="29"/>
      <c r="CN3" s="29"/>
      <c r="CO3" s="29"/>
      <c r="CP3" s="29"/>
      <c r="CQ3" s="29"/>
      <c r="CR3" s="29"/>
      <c r="CS3" s="29"/>
      <c r="CT3" s="29"/>
      <c r="CU3" s="29"/>
      <c r="CV3" s="29"/>
      <c r="CW3" s="29"/>
      <c r="CX3" s="29"/>
    </row>
    <row r="4" spans="1:102"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8"/>
      <c r="BD4" s="78"/>
      <c r="BE4" s="35" t="s">
        <v>127</v>
      </c>
      <c r="BF4" s="35"/>
      <c r="BG4" s="35"/>
      <c r="BH4" s="35"/>
      <c r="BI4" s="35"/>
      <c r="BJ4" s="35"/>
      <c r="BK4" s="35"/>
      <c r="BL4" s="35"/>
      <c r="BM4" s="35"/>
      <c r="BN4" s="35"/>
      <c r="BO4" s="35"/>
      <c r="CA4" s="28"/>
      <c r="CB4" s="29"/>
      <c r="CC4" s="29"/>
      <c r="CD4" s="29"/>
      <c r="CE4" s="29"/>
      <c r="CF4" s="29"/>
      <c r="CG4" s="29"/>
      <c r="CH4" s="29"/>
      <c r="CI4" s="29"/>
      <c r="CJ4" s="29"/>
      <c r="CK4" s="29"/>
      <c r="CL4" s="43"/>
      <c r="CM4" s="29"/>
      <c r="CN4" s="29"/>
      <c r="CO4" s="29"/>
      <c r="CP4" s="29"/>
      <c r="CQ4" s="29"/>
      <c r="CR4" s="29"/>
      <c r="CS4" s="29"/>
      <c r="CT4" s="29"/>
      <c r="CU4" s="29"/>
      <c r="CV4" s="29"/>
      <c r="CW4" s="29"/>
      <c r="CX4" s="29"/>
    </row>
    <row r="5" spans="1:102"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8"/>
      <c r="BD5" s="78"/>
      <c r="BE5" s="35" t="s">
        <v>127</v>
      </c>
      <c r="BF5" s="35"/>
      <c r="BG5" s="35"/>
      <c r="BH5" s="35"/>
      <c r="BI5" s="35"/>
      <c r="BJ5" s="35"/>
      <c r="CA5" s="28"/>
      <c r="CB5" s="29"/>
      <c r="CC5" s="44" t="s">
        <v>205</v>
      </c>
      <c r="CD5" s="44" t="s">
        <v>206</v>
      </c>
      <c r="CE5" s="44" t="s">
        <v>207</v>
      </c>
      <c r="CF5" s="29"/>
      <c r="CG5" s="44" t="s">
        <v>19</v>
      </c>
      <c r="CH5" s="61">
        <f>IF('Multi-stage Capacity unit'!$BD$7="Required test",data!$D$14,IF('Multi-stage Capacity unit'!$BD$11="Not Measure",IF('Multi-stage Capacity unit'!$BD$21="Default",data!$D$14,$CK$9),IF('Multi-stage Capacity unit'!$BD$23="Default",data!$D$14,$CM$9)))</f>
        <v>0.25</v>
      </c>
      <c r="CI5" s="29"/>
      <c r="CJ5" s="29"/>
      <c r="CK5" s="40" t="s">
        <v>79</v>
      </c>
      <c r="CL5" s="40" t="s">
        <v>80</v>
      </c>
      <c r="CM5" s="40" t="s">
        <v>77</v>
      </c>
      <c r="CN5" s="40" t="s">
        <v>78</v>
      </c>
      <c r="CO5" s="29"/>
      <c r="CP5" s="29"/>
      <c r="CQ5" s="29"/>
      <c r="CR5" s="29"/>
      <c r="CS5" s="29"/>
      <c r="CT5" s="29"/>
      <c r="CU5" s="29"/>
      <c r="CV5" s="29"/>
      <c r="CW5" s="29"/>
      <c r="CX5" s="29"/>
    </row>
    <row r="6" spans="1:102"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78"/>
      <c r="BE6" s="35" t="s">
        <v>127</v>
      </c>
      <c r="CA6" s="28"/>
      <c r="CB6" s="51" t="s">
        <v>18</v>
      </c>
      <c r="CC6" s="52">
        <f>'Multi-stage Capacity unit'!$H$9</f>
        <v>5500</v>
      </c>
      <c r="CD6" s="52">
        <f>IF('Multi-stage Capacity unit'!$BD$7="Required test",$CD$11/$CH$6,IF('Multi-stage Capacity unit'!$BD$14="Default",$CD$11/$CH$6,'Multi-stage Capacity unit'!$H$10))</f>
        <v>2646.2395543175489</v>
      </c>
      <c r="CE6" s="52">
        <f>IF('Multi-stage Capacity unit'!$BD$7="Required test",$CD$6,IF('Multi-stage Capacity unit'!$BD$11="Not Measure",$CD$6,IF('Multi-stage Capacity unit'!$BD$15="Default",$CE$11/$CH$6,'Multi-stage Capacity unit'!$H$11)))</f>
        <v>2646.2395543175489</v>
      </c>
      <c r="CF6" s="29"/>
      <c r="CG6" s="53" t="s">
        <v>208</v>
      </c>
      <c r="CH6" s="40">
        <f>data!$D$15</f>
        <v>1.077</v>
      </c>
      <c r="CI6" s="29"/>
      <c r="CJ6" s="83" t="s">
        <v>18</v>
      </c>
      <c r="CK6" s="40">
        <f>'Multi-stage Capacity unit'!$H$22</f>
        <v>2500</v>
      </c>
      <c r="CL6" s="40">
        <f>'Multi-stage Capacity unit'!$H$21</f>
        <v>3300</v>
      </c>
      <c r="CM6" s="40">
        <f>'Multi-stage Capacity unit'!$H$24</f>
        <v>2600</v>
      </c>
      <c r="CN6" s="40">
        <f>'Multi-stage Capacity unit'!$H$23</f>
        <v>3500</v>
      </c>
      <c r="CO6" s="29"/>
      <c r="CP6" s="29"/>
      <c r="CQ6" s="29"/>
      <c r="CR6" s="29"/>
      <c r="CS6" s="29"/>
      <c r="CT6" s="29"/>
      <c r="CU6" s="29"/>
      <c r="CV6" s="29"/>
      <c r="CW6" s="29"/>
      <c r="CX6" s="29"/>
    </row>
    <row r="7" spans="1:102"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29"/>
      <c r="AQ7" s="54"/>
      <c r="AR7" s="55" t="str">
        <f>'Variable Capacity unit'!$AR$7</f>
        <v>Required test only</v>
      </c>
      <c r="AS7" s="55"/>
      <c r="AT7" s="55"/>
      <c r="AU7" s="55"/>
      <c r="AV7" s="56"/>
      <c r="AW7" s="57"/>
      <c r="AX7" s="58" t="str">
        <f>'Variable Capacity unit'!$AX$7</f>
        <v>With Optional test</v>
      </c>
      <c r="AY7" s="58"/>
      <c r="AZ7" s="58"/>
      <c r="BA7" s="58"/>
      <c r="BB7" s="59"/>
      <c r="BC7" s="81">
        <v>1</v>
      </c>
      <c r="BD7" s="33" t="str">
        <f>IF($BC$7=2,"Optional test","Required test")</f>
        <v>Required test</v>
      </c>
      <c r="BE7" s="35" t="s">
        <v>127</v>
      </c>
      <c r="BK7" s="50"/>
      <c r="BL7" s="50"/>
      <c r="BM7" s="50"/>
      <c r="BN7" s="50"/>
      <c r="BO7" s="50"/>
      <c r="BP7" s="50"/>
      <c r="CA7" s="28"/>
      <c r="CB7" s="51" t="s">
        <v>1</v>
      </c>
      <c r="CC7" s="52">
        <f>'Multi-stage Capacity unit'!$L$9</f>
        <v>1520</v>
      </c>
      <c r="CD7" s="52">
        <f>IF('Multi-stage Capacity unit'!$BD$7="Required test",$CD$12/$CH$7,IF('Multi-stage Capacity unit'!$BD$14="Default",$CD$12/$CH$7,'Multi-stage Capacity unit'!$L$10))</f>
        <v>634.57330415754916</v>
      </c>
      <c r="CE7" s="52">
        <f>IF('Multi-stage Capacity unit'!$BD$7="Required test",$CD$7,IF('Multi-stage Capacity unit'!$BD$11="Not Measure",$CD$7,IF('Multi-stage Capacity unit'!$BD$15="Default",$CE$12/$CH$7,'Multi-stage Capacity unit'!$L$11)))</f>
        <v>634.57330415754916</v>
      </c>
      <c r="CF7" s="29"/>
      <c r="CG7" s="53" t="s">
        <v>209</v>
      </c>
      <c r="CH7" s="40">
        <f>data!$D$16</f>
        <v>0.91400000000000003</v>
      </c>
      <c r="CI7" s="29"/>
      <c r="CJ7" s="83" t="s">
        <v>1</v>
      </c>
      <c r="CK7" s="40">
        <f>'Multi-stage Capacity unit'!$L$22</f>
        <v>480</v>
      </c>
      <c r="CL7" s="40">
        <f>'Multi-stage Capacity unit'!$L$21</f>
        <v>580</v>
      </c>
      <c r="CM7" s="40">
        <f>'Multi-stage Capacity unit'!$L$24</f>
        <v>500</v>
      </c>
      <c r="CN7" s="40">
        <f>'Multi-stage Capacity unit'!$L$23</f>
        <v>600</v>
      </c>
      <c r="CO7" s="29"/>
      <c r="CP7" s="29"/>
      <c r="CQ7" s="29"/>
      <c r="CR7" s="29"/>
      <c r="CS7" s="29"/>
      <c r="CT7" s="29"/>
      <c r="CU7" s="29"/>
      <c r="CV7" s="29"/>
      <c r="CW7" s="29"/>
      <c r="CX7" s="29"/>
    </row>
    <row r="8" spans="1:102"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2"/>
      <c r="AR8" s="32"/>
      <c r="AS8" s="32"/>
      <c r="AT8" s="32"/>
      <c r="AU8" s="32"/>
      <c r="AV8" s="32"/>
      <c r="AW8" s="32"/>
      <c r="AX8" s="32"/>
      <c r="AY8" s="32"/>
      <c r="AZ8" s="32"/>
      <c r="BA8" s="32"/>
      <c r="BB8" s="32"/>
      <c r="BC8" s="33"/>
      <c r="BD8" s="33"/>
      <c r="BE8" s="35" t="s">
        <v>127</v>
      </c>
      <c r="BK8" s="50"/>
      <c r="BL8" s="50"/>
      <c r="BM8" s="50"/>
      <c r="BN8" s="50"/>
      <c r="BO8" s="50"/>
      <c r="BP8" s="50"/>
      <c r="CA8" s="28"/>
      <c r="CB8" s="44" t="s">
        <v>210</v>
      </c>
      <c r="CC8" s="61">
        <f>$CC$6/$CC$7</f>
        <v>3.6184210526315788</v>
      </c>
      <c r="CD8" s="61">
        <f>$CD$6/$CD$7</f>
        <v>4.1701085390452413</v>
      </c>
      <c r="CE8" s="61">
        <f>$CE$6/$CE$7</f>
        <v>4.1701085390452413</v>
      </c>
      <c r="CF8" s="29"/>
      <c r="CG8" s="44" t="s">
        <v>211</v>
      </c>
      <c r="CH8" s="44">
        <f>data!$D$11</f>
        <v>20</v>
      </c>
      <c r="CI8" s="29"/>
      <c r="CJ8" s="83" t="s">
        <v>202</v>
      </c>
      <c r="CK8" s="41">
        <f>$CK$6/$CK$7</f>
        <v>5.208333333333333</v>
      </c>
      <c r="CL8" s="41">
        <f>$CL$6/$CL$7</f>
        <v>5.6896551724137927</v>
      </c>
      <c r="CM8" s="41">
        <f>$CM$6/$CM$7</f>
        <v>5.2</v>
      </c>
      <c r="CN8" s="41">
        <f>$CN$6/$CN$7</f>
        <v>5.833333333333333</v>
      </c>
      <c r="CO8" s="29"/>
      <c r="CP8" s="29"/>
      <c r="CQ8" s="29"/>
      <c r="CR8" s="29"/>
      <c r="CS8" s="29"/>
      <c r="CT8" s="29"/>
      <c r="CU8" s="29"/>
      <c r="CV8" s="29"/>
      <c r="CW8" s="29"/>
      <c r="CX8" s="29"/>
    </row>
    <row r="9" spans="1:102" s="34" customFormat="1" ht="12" customHeight="1">
      <c r="A9" s="31"/>
      <c r="B9" s="31"/>
      <c r="C9" s="31"/>
      <c r="D9" s="123" t="str">
        <f>'Variable Capacity unit'!$D$9</f>
        <v>Full</v>
      </c>
      <c r="E9" s="124"/>
      <c r="F9" s="124"/>
      <c r="G9" s="125"/>
      <c r="H9" s="134">
        <v>5500</v>
      </c>
      <c r="I9" s="134"/>
      <c r="J9" s="134"/>
      <c r="K9" s="134"/>
      <c r="L9" s="134">
        <v>1520</v>
      </c>
      <c r="M9" s="134"/>
      <c r="N9" s="134"/>
      <c r="O9" s="134"/>
      <c r="P9" s="135">
        <f>$H$9/$L$9</f>
        <v>3.6184210526315788</v>
      </c>
      <c r="Q9" s="136"/>
      <c r="R9" s="31"/>
      <c r="S9" s="31"/>
      <c r="T9" s="31"/>
      <c r="U9" s="31"/>
      <c r="V9" s="31"/>
      <c r="W9" s="31"/>
      <c r="X9" s="31"/>
      <c r="Y9" s="31"/>
      <c r="Z9" s="31"/>
      <c r="AA9" s="31"/>
      <c r="AB9" s="31"/>
      <c r="AC9" s="31"/>
      <c r="AD9" s="31"/>
      <c r="AE9" s="31"/>
      <c r="AF9" s="31"/>
      <c r="AG9" s="31"/>
      <c r="AH9" s="31"/>
      <c r="AI9" s="31"/>
      <c r="AJ9" s="31"/>
      <c r="AK9" s="108" t="str">
        <f>'Variable Capacity unit'!$AK$9</f>
        <v>Full Performance</v>
      </c>
      <c r="AL9" s="108"/>
      <c r="AM9" s="108"/>
      <c r="AN9" s="108"/>
      <c r="AO9" s="108"/>
      <c r="AP9" s="129"/>
      <c r="AQ9" s="105" t="s">
        <v>44</v>
      </c>
      <c r="AR9" s="105"/>
      <c r="AS9" s="105"/>
      <c r="AT9" s="105"/>
      <c r="AU9" s="105"/>
      <c r="AV9" s="105"/>
      <c r="AW9" s="105"/>
      <c r="AX9" s="105"/>
      <c r="AY9" s="105"/>
      <c r="AZ9" s="105"/>
      <c r="BA9" s="105"/>
      <c r="BB9" s="105"/>
      <c r="BC9" s="33"/>
      <c r="BD9" s="33"/>
      <c r="BE9" s="35" t="s">
        <v>127</v>
      </c>
      <c r="BK9" s="50"/>
      <c r="CA9" s="28"/>
      <c r="CB9" s="44"/>
      <c r="CC9" s="44"/>
      <c r="CD9" s="44"/>
      <c r="CE9" s="63"/>
      <c r="CF9" s="29"/>
      <c r="CG9" s="44" t="s">
        <v>148</v>
      </c>
      <c r="CH9" s="44">
        <f>data!$D$12</f>
        <v>35</v>
      </c>
      <c r="CI9" s="29"/>
      <c r="CJ9" s="40" t="s">
        <v>96</v>
      </c>
      <c r="CK9" s="150">
        <f>(1-($CK$8/$CL$8))/(1-($CK$6/$CL$6))</f>
        <v>0.34895833333333315</v>
      </c>
      <c r="CL9" s="150"/>
      <c r="CM9" s="150">
        <f>(1-($CM$8/$CN$8))/(1-($CM$6/$CN$6))</f>
        <v>0.42222222222222217</v>
      </c>
      <c r="CN9" s="150"/>
      <c r="CO9" s="29"/>
      <c r="CP9" s="29"/>
      <c r="CQ9" s="29"/>
      <c r="CR9" s="29"/>
      <c r="CS9" s="29"/>
      <c r="CT9" s="29"/>
      <c r="CU9" s="29"/>
      <c r="CV9" s="29"/>
      <c r="CW9" s="29"/>
      <c r="CX9" s="29"/>
    </row>
    <row r="10" spans="1:102" s="34" customFormat="1" ht="12" customHeight="1">
      <c r="A10" s="31"/>
      <c r="B10" s="31"/>
      <c r="C10" s="31"/>
      <c r="D10" s="123" t="str">
        <f>'Variable Capacity unit'!$D$10</f>
        <v>Half</v>
      </c>
      <c r="E10" s="124"/>
      <c r="F10" s="124"/>
      <c r="G10" s="125"/>
      <c r="H10" s="127">
        <v>2600</v>
      </c>
      <c r="I10" s="127"/>
      <c r="J10" s="127"/>
      <c r="K10" s="127"/>
      <c r="L10" s="127">
        <v>600</v>
      </c>
      <c r="M10" s="127"/>
      <c r="N10" s="127"/>
      <c r="O10" s="127"/>
      <c r="P10" s="135">
        <f>$H$10/$L$10</f>
        <v>4.333333333333333</v>
      </c>
      <c r="Q10" s="136"/>
      <c r="R10" s="31"/>
      <c r="S10" s="31"/>
      <c r="T10" s="31"/>
      <c r="U10" s="31"/>
      <c r="V10" s="31"/>
      <c r="W10" s="31"/>
      <c r="X10" s="31"/>
      <c r="Y10" s="31"/>
      <c r="Z10" s="31"/>
      <c r="AA10" s="31"/>
      <c r="AB10" s="31"/>
      <c r="AC10" s="31"/>
      <c r="AD10" s="31"/>
      <c r="AE10" s="31"/>
      <c r="AF10" s="31"/>
      <c r="AG10" s="31"/>
      <c r="AH10" s="31"/>
      <c r="AI10" s="31"/>
      <c r="AJ10" s="31"/>
      <c r="AK10" s="108" t="str">
        <f>'Variable Capacity unit'!$AK$10</f>
        <v>Half Performance</v>
      </c>
      <c r="AL10" s="108"/>
      <c r="AM10" s="108"/>
      <c r="AN10" s="108"/>
      <c r="AO10" s="108"/>
      <c r="AP10" s="129"/>
      <c r="AQ10" s="105" t="s">
        <v>44</v>
      </c>
      <c r="AR10" s="105"/>
      <c r="AS10" s="105"/>
      <c r="AT10" s="105"/>
      <c r="AU10" s="105"/>
      <c r="AV10" s="105"/>
      <c r="AW10" s="105"/>
      <c r="AX10" s="105"/>
      <c r="AY10" s="105"/>
      <c r="AZ10" s="105"/>
      <c r="BA10" s="105"/>
      <c r="BB10" s="105"/>
      <c r="BC10" s="33"/>
      <c r="BD10" s="33"/>
      <c r="BE10" s="35" t="s">
        <v>127</v>
      </c>
      <c r="BK10" s="50"/>
      <c r="CA10" s="28"/>
      <c r="CB10" s="44"/>
      <c r="CC10" s="44" t="s">
        <v>212</v>
      </c>
      <c r="CD10" s="44" t="s">
        <v>213</v>
      </c>
      <c r="CE10" s="44" t="s">
        <v>214</v>
      </c>
      <c r="CF10" s="29"/>
      <c r="CG10" s="29"/>
      <c r="CH10" s="29"/>
      <c r="CI10" s="29"/>
      <c r="CJ10" s="29"/>
      <c r="CK10" s="29"/>
      <c r="CL10" s="29"/>
      <c r="CM10" s="44"/>
      <c r="CN10" s="29"/>
      <c r="CO10" s="29"/>
      <c r="CP10" s="29"/>
      <c r="CQ10" s="29"/>
      <c r="CR10" s="29"/>
      <c r="CS10" s="29"/>
      <c r="CT10" s="29"/>
      <c r="CU10" s="29"/>
      <c r="CV10" s="29"/>
      <c r="CW10" s="29"/>
      <c r="CX10" s="29"/>
    </row>
    <row r="11" spans="1:102" s="34" customFormat="1" ht="12" customHeight="1">
      <c r="A11" s="31"/>
      <c r="B11" s="31"/>
      <c r="C11" s="31"/>
      <c r="D11" s="123" t="str">
        <f>'Variable Capacity unit'!$D$11</f>
        <v>Minimum</v>
      </c>
      <c r="E11" s="124"/>
      <c r="F11" s="124"/>
      <c r="G11" s="125"/>
      <c r="H11" s="127">
        <v>1500</v>
      </c>
      <c r="I11" s="127"/>
      <c r="J11" s="127"/>
      <c r="K11" s="127"/>
      <c r="L11" s="127">
        <v>320</v>
      </c>
      <c r="M11" s="127"/>
      <c r="N11" s="127"/>
      <c r="O11" s="127"/>
      <c r="P11" s="135">
        <f>$H$11/$L$11</f>
        <v>4.6875</v>
      </c>
      <c r="Q11" s="136"/>
      <c r="R11" s="31"/>
      <c r="S11" s="31"/>
      <c r="T11" s="31"/>
      <c r="U11" s="31"/>
      <c r="V11" s="31"/>
      <c r="W11" s="31"/>
      <c r="X11" s="31"/>
      <c r="Y11" s="31"/>
      <c r="Z11" s="31"/>
      <c r="AA11" s="31"/>
      <c r="AB11" s="31"/>
      <c r="AC11" s="31"/>
      <c r="AD11" s="31"/>
      <c r="AE11" s="31"/>
      <c r="AF11" s="31"/>
      <c r="AG11" s="31"/>
      <c r="AH11" s="31"/>
      <c r="AI11" s="31"/>
      <c r="AJ11" s="31"/>
      <c r="AK11" s="108" t="str">
        <f>'Variable Capacity unit'!$AK$11</f>
        <v>Min Performance</v>
      </c>
      <c r="AL11" s="108"/>
      <c r="AM11" s="108"/>
      <c r="AN11" s="108"/>
      <c r="AO11" s="108"/>
      <c r="AP11" s="129"/>
      <c r="AQ11" s="57"/>
      <c r="AR11" s="101" t="str">
        <f>'Variable Capacity unit'!$AR$11</f>
        <v>Not Measure</v>
      </c>
      <c r="AS11" s="101"/>
      <c r="AT11" s="101"/>
      <c r="AU11" s="101"/>
      <c r="AV11" s="102"/>
      <c r="AW11" s="57"/>
      <c r="AX11" s="101" t="str">
        <f>'Variable Capacity unit'!$AX$11</f>
        <v>Measure</v>
      </c>
      <c r="AY11" s="101"/>
      <c r="AZ11" s="101"/>
      <c r="BA11" s="101"/>
      <c r="BB11" s="102"/>
      <c r="BC11" s="81">
        <v>1</v>
      </c>
      <c r="BD11" s="33" t="str">
        <f>IF($BC$7=2,IF($BC$11=2,"Measure","Not Measure"),"Not Measure")</f>
        <v>Not Measure</v>
      </c>
      <c r="BE11" s="35" t="s">
        <v>127</v>
      </c>
      <c r="BK11" s="50"/>
      <c r="CA11" s="28"/>
      <c r="CB11" s="51" t="s">
        <v>18</v>
      </c>
      <c r="CC11" s="52">
        <f>'Multi-stage Capacity unit'!$H$15</f>
        <v>5950</v>
      </c>
      <c r="CD11" s="52">
        <f>'Multi-stage Capacity unit'!$H$16</f>
        <v>2850</v>
      </c>
      <c r="CE11" s="52">
        <f>IF('Multi-stage Capacity unit'!$BD$7="Required test",$CD$11,IF('Multi-stage Capacity unit'!$BD$11="Not Measure",$CD$11,IF('Multi-stage Capacity unit'!$BD$18="Default",$CD$11,'Multi-stage Capacity unit'!$H$17)))</f>
        <v>2850</v>
      </c>
      <c r="CF11" s="29"/>
      <c r="CG11" s="29"/>
      <c r="CH11" s="29"/>
      <c r="CI11" s="29"/>
      <c r="CJ11" s="29"/>
      <c r="CK11" s="29"/>
      <c r="CL11" s="29"/>
      <c r="CM11" s="29"/>
      <c r="CN11" s="29"/>
      <c r="CO11" s="29"/>
      <c r="CP11" s="29"/>
      <c r="CQ11" s="29"/>
      <c r="CR11" s="29"/>
      <c r="CS11" s="29"/>
      <c r="CT11" s="29"/>
      <c r="CU11" s="29"/>
      <c r="CV11" s="29"/>
      <c r="CW11" s="29"/>
      <c r="CX11" s="29"/>
    </row>
    <row r="12" spans="1:102" s="34" customFormat="1" ht="12" customHeight="1">
      <c r="A12" s="31"/>
      <c r="B12" s="31"/>
      <c r="C12" s="31"/>
      <c r="D12" s="31"/>
      <c r="E12" s="31"/>
      <c r="F12" s="31"/>
      <c r="G12" s="31"/>
      <c r="H12" s="31"/>
      <c r="I12" s="31"/>
      <c r="J12" s="31"/>
      <c r="K12" s="31"/>
      <c r="L12" s="31"/>
      <c r="M12" s="31"/>
      <c r="N12" s="31"/>
      <c r="O12" s="31"/>
      <c r="P12" s="31"/>
      <c r="Q12" s="31"/>
      <c r="R12" s="31"/>
      <c r="S12" s="31"/>
      <c r="T12" s="31"/>
      <c r="U12" s="31"/>
      <c r="V12" s="31"/>
      <c r="W12" s="64"/>
      <c r="X12" s="31"/>
      <c r="Y12" s="108" t="str">
        <f>data!D7</f>
        <v>International</v>
      </c>
      <c r="Z12" s="108"/>
      <c r="AA12" s="108"/>
      <c r="AB12" s="108"/>
      <c r="AC12" s="129" t="str">
        <f>data!$F$7</f>
        <v>CUSTOM</v>
      </c>
      <c r="AD12" s="130"/>
      <c r="AE12" s="130"/>
      <c r="AF12" s="131"/>
      <c r="AG12" s="31"/>
      <c r="AH12" s="31"/>
      <c r="AI12" s="31"/>
      <c r="AJ12" s="31"/>
      <c r="AK12" s="31"/>
      <c r="AL12" s="31"/>
      <c r="AM12" s="31"/>
      <c r="AN12" s="31"/>
      <c r="AO12" s="31"/>
      <c r="AP12" s="31"/>
      <c r="AQ12" s="32"/>
      <c r="AR12" s="32"/>
      <c r="AS12" s="32"/>
      <c r="AT12" s="32"/>
      <c r="AU12" s="32"/>
      <c r="AV12" s="32"/>
      <c r="AW12" s="32"/>
      <c r="AX12" s="32"/>
      <c r="AY12" s="32"/>
      <c r="AZ12" s="32"/>
      <c r="BA12" s="32"/>
      <c r="BB12" s="32"/>
      <c r="BC12" s="33"/>
      <c r="BD12" s="33"/>
      <c r="BE12" s="35" t="s">
        <v>127</v>
      </c>
      <c r="BK12" s="50"/>
      <c r="CA12" s="28"/>
      <c r="CB12" s="51" t="s">
        <v>1</v>
      </c>
      <c r="CC12" s="52">
        <f>'Multi-stage Capacity unit'!$L$15</f>
        <v>1400</v>
      </c>
      <c r="CD12" s="52">
        <f>'Multi-stage Capacity unit'!$L$16</f>
        <v>580</v>
      </c>
      <c r="CE12" s="52">
        <f>IF('Multi-stage Capacity unit'!$BD$7="Required test",$CD$12,IF('Multi-stage Capacity unit'!$BD$11="Not Measure",$CD$12,IF('Multi-stage Capacity unit'!BD$18="Default",$CD$12,'Multi-stage Capacity unit'!$L$17)))</f>
        <v>580</v>
      </c>
      <c r="CF12" s="29"/>
      <c r="CG12" s="29"/>
      <c r="CH12" s="29"/>
      <c r="CI12" s="29"/>
      <c r="CJ12" s="29"/>
      <c r="CK12" s="29"/>
      <c r="CL12" s="29"/>
      <c r="CM12" s="29"/>
      <c r="CN12" s="29"/>
      <c r="CO12" s="29"/>
      <c r="CP12" s="29"/>
      <c r="CQ12" s="29"/>
      <c r="CR12" s="29"/>
      <c r="CS12" s="29"/>
      <c r="CT12" s="29"/>
      <c r="CU12" s="29"/>
      <c r="CV12" s="29"/>
      <c r="CW12" s="29"/>
      <c r="CX12" s="29"/>
    </row>
    <row r="13" spans="1:102" s="34" customFormat="1" ht="12" customHeight="1">
      <c r="A13" s="31"/>
      <c r="B13" s="31"/>
      <c r="C13" s="31"/>
      <c r="D13" s="31" t="str">
        <f>'Variable Capacity unit'!$D$13</f>
        <v>Low Temperature Condition ( 29℃ ）</v>
      </c>
      <c r="E13" s="31"/>
      <c r="F13" s="31"/>
      <c r="G13" s="31"/>
      <c r="H13" s="31"/>
      <c r="I13" s="31"/>
      <c r="J13" s="31"/>
      <c r="K13" s="31"/>
      <c r="L13" s="31"/>
      <c r="M13" s="31"/>
      <c r="N13" s="31"/>
      <c r="O13" s="31"/>
      <c r="P13" s="31"/>
      <c r="Q13" s="31"/>
      <c r="R13" s="31"/>
      <c r="S13" s="31"/>
      <c r="T13" s="31"/>
      <c r="U13" s="108" t="str">
        <f>'Variable Capacity unit'!$U$13</f>
        <v>CSTL [ kWh ]</v>
      </c>
      <c r="V13" s="108"/>
      <c r="W13" s="108"/>
      <c r="X13" s="108"/>
      <c r="Y13" s="146">
        <f>'Multi-stage Capacity unit'!$CM$49/1000</f>
        <v>4032.2333333333336</v>
      </c>
      <c r="Z13" s="146"/>
      <c r="AA13" s="146"/>
      <c r="AB13" s="146"/>
      <c r="AC13" s="151">
        <f>'Multi-stage Capacity unit'!CM108/1000</f>
        <v>4545.6166666666659</v>
      </c>
      <c r="AD13" s="152"/>
      <c r="AE13" s="152"/>
      <c r="AF13" s="153"/>
      <c r="AG13" s="31"/>
      <c r="AH13" s="31"/>
      <c r="AI13" s="31" t="str">
        <f>'Variable Capacity unit'!$AI$13</f>
        <v>(35℃）</v>
      </c>
      <c r="AJ13" s="31"/>
      <c r="AK13" s="109" t="str">
        <f>'Variable Capacity unit'!$AK$13</f>
        <v>Full</v>
      </c>
      <c r="AL13" s="109"/>
      <c r="AM13" s="109"/>
      <c r="AN13" s="109"/>
      <c r="AO13" s="109"/>
      <c r="AP13" s="123"/>
      <c r="AQ13" s="105" t="s">
        <v>44</v>
      </c>
      <c r="AR13" s="105"/>
      <c r="AS13" s="105"/>
      <c r="AT13" s="105"/>
      <c r="AU13" s="105"/>
      <c r="AV13" s="105"/>
      <c r="AW13" s="105"/>
      <c r="AX13" s="105"/>
      <c r="AY13" s="105"/>
      <c r="AZ13" s="105"/>
      <c r="BA13" s="105"/>
      <c r="BB13" s="105"/>
      <c r="BC13" s="33"/>
      <c r="BD13" s="33"/>
      <c r="BE13" s="35" t="s">
        <v>127</v>
      </c>
      <c r="BK13" s="84"/>
      <c r="CA13" s="28"/>
      <c r="CB13" s="44" t="s">
        <v>215</v>
      </c>
      <c r="CC13" s="61">
        <f>$CC$11/$CC$12</f>
        <v>4.25</v>
      </c>
      <c r="CD13" s="61">
        <f>$CD$11/$CD$12</f>
        <v>4.9137931034482758</v>
      </c>
      <c r="CE13" s="61">
        <f>$CE$11/$CE$12</f>
        <v>4.9137931034482758</v>
      </c>
      <c r="CF13" s="29"/>
      <c r="CG13" s="29"/>
      <c r="CH13" s="29"/>
      <c r="CI13" s="29"/>
      <c r="CJ13" s="29"/>
      <c r="CK13" s="29"/>
      <c r="CL13" s="29"/>
      <c r="CM13" s="29"/>
      <c r="CN13" s="29"/>
      <c r="CO13" s="29"/>
      <c r="CP13" s="29"/>
      <c r="CQ13" s="29"/>
      <c r="CR13" s="29"/>
      <c r="CS13" s="29"/>
      <c r="CT13" s="29"/>
      <c r="CU13" s="29"/>
      <c r="CV13" s="29"/>
      <c r="CW13" s="29"/>
      <c r="CX13" s="29"/>
    </row>
    <row r="14" spans="1:102" s="34" customFormat="1" ht="12" customHeight="1">
      <c r="A14" s="31"/>
      <c r="B14" s="31"/>
      <c r="C14" s="31"/>
      <c r="D14" s="31"/>
      <c r="E14" s="31"/>
      <c r="F14" s="31"/>
      <c r="G14" s="31"/>
      <c r="H14" s="154" t="str">
        <f>'Variable Capacity unit'!$H$8</f>
        <v>Capacity [W]</v>
      </c>
      <c r="I14" s="154"/>
      <c r="J14" s="154"/>
      <c r="K14" s="154"/>
      <c r="L14" s="154" t="str">
        <f>'Variable Capacity unit'!$L$8</f>
        <v>Power [W]</v>
      </c>
      <c r="M14" s="154"/>
      <c r="N14" s="154"/>
      <c r="O14" s="154"/>
      <c r="P14" s="103" t="str">
        <f>'Variable Capacity unit'!$P$8</f>
        <v>EER</v>
      </c>
      <c r="Q14" s="104"/>
      <c r="R14" s="31"/>
      <c r="S14" s="31"/>
      <c r="T14" s="31"/>
      <c r="U14" s="108" t="str">
        <f>'Variable Capacity unit'!$U$14</f>
        <v>CSEC [ kWh ]</v>
      </c>
      <c r="V14" s="108"/>
      <c r="W14" s="108"/>
      <c r="X14" s="108"/>
      <c r="Y14" s="146">
        <f>'Multi-stage Capacity unit'!$CX$49/1000</f>
        <v>848.90459584864334</v>
      </c>
      <c r="Z14" s="146"/>
      <c r="AA14" s="146"/>
      <c r="AB14" s="146"/>
      <c r="AC14" s="151">
        <f>'Multi-stage Capacity unit'!CX108/1000</f>
        <v>977.70881467038998</v>
      </c>
      <c r="AD14" s="152"/>
      <c r="AE14" s="152"/>
      <c r="AF14" s="153"/>
      <c r="AG14" s="31"/>
      <c r="AH14" s="31"/>
      <c r="AI14" s="31"/>
      <c r="AJ14" s="31"/>
      <c r="AK14" s="109" t="str">
        <f>'Variable Capacity unit'!$AK$14</f>
        <v>Half</v>
      </c>
      <c r="AL14" s="109"/>
      <c r="AM14" s="109"/>
      <c r="AN14" s="109"/>
      <c r="AO14" s="109"/>
      <c r="AP14" s="123"/>
      <c r="AQ14" s="57"/>
      <c r="AR14" s="101" t="s">
        <v>105</v>
      </c>
      <c r="AS14" s="101"/>
      <c r="AT14" s="101"/>
      <c r="AU14" s="101"/>
      <c r="AV14" s="102"/>
      <c r="AW14" s="57"/>
      <c r="AX14" s="101" t="s">
        <v>106</v>
      </c>
      <c r="AY14" s="101"/>
      <c r="AZ14" s="101"/>
      <c r="BA14" s="101"/>
      <c r="BB14" s="102"/>
      <c r="BC14" s="81">
        <v>1</v>
      </c>
      <c r="BD14" s="33" t="str">
        <f>IF($BC$7=2,IF($BC$14=2,"Measure","Default"),"Default")</f>
        <v>Default</v>
      </c>
      <c r="BE14" s="35" t="s">
        <v>127</v>
      </c>
      <c r="BK14" s="84"/>
      <c r="CA14" s="28"/>
      <c r="CB14" s="44"/>
      <c r="CC14" s="44"/>
      <c r="CD14" s="44"/>
      <c r="CE14" s="44"/>
      <c r="CF14" s="29"/>
      <c r="CG14" s="29"/>
      <c r="CH14" s="29"/>
      <c r="CI14" s="29"/>
      <c r="CJ14" s="29"/>
      <c r="CK14" s="29"/>
      <c r="CL14" s="29"/>
      <c r="CM14" s="29"/>
      <c r="CN14" s="29"/>
      <c r="CO14" s="29"/>
      <c r="CP14" s="29"/>
      <c r="CQ14" s="29"/>
      <c r="CR14" s="29"/>
      <c r="CS14" s="29"/>
      <c r="CT14" s="29"/>
      <c r="CU14" s="29"/>
      <c r="CV14" s="29"/>
      <c r="CW14" s="29"/>
      <c r="CX14" s="29"/>
    </row>
    <row r="15" spans="1:102" s="34" customFormat="1" ht="12" customHeight="1">
      <c r="A15" s="31"/>
      <c r="B15" s="31"/>
      <c r="C15" s="31"/>
      <c r="D15" s="123" t="str">
        <f>'Variable Capacity unit'!$D$15</f>
        <v>Full</v>
      </c>
      <c r="E15" s="124"/>
      <c r="F15" s="124"/>
      <c r="G15" s="125"/>
      <c r="H15" s="134">
        <v>5950</v>
      </c>
      <c r="I15" s="134"/>
      <c r="J15" s="134"/>
      <c r="K15" s="134"/>
      <c r="L15" s="134">
        <v>1400</v>
      </c>
      <c r="M15" s="134"/>
      <c r="N15" s="134"/>
      <c r="O15" s="134"/>
      <c r="P15" s="111">
        <f>$H$15/$L$15</f>
        <v>4.25</v>
      </c>
      <c r="Q15" s="111"/>
      <c r="R15" s="31"/>
      <c r="S15" s="31"/>
      <c r="T15" s="31"/>
      <c r="U15" s="108" t="str">
        <f>'Variable Capacity unit'!$U$15</f>
        <v>CSPF</v>
      </c>
      <c r="V15" s="108"/>
      <c r="W15" s="108"/>
      <c r="X15" s="108"/>
      <c r="Y15" s="111">
        <f>'Multi-stage Capacity unit'!$CF$3</f>
        <v>4.7499252013146904</v>
      </c>
      <c r="Z15" s="111"/>
      <c r="AA15" s="111"/>
      <c r="AB15" s="111"/>
      <c r="AC15" s="142">
        <f>'Multi-stage Capacity unit'!CF62</f>
        <v>4.6492540503474</v>
      </c>
      <c r="AD15" s="130"/>
      <c r="AE15" s="130"/>
      <c r="AF15" s="131"/>
      <c r="AG15" s="31"/>
      <c r="AH15" s="31"/>
      <c r="AI15" s="31"/>
      <c r="AJ15" s="31"/>
      <c r="AK15" s="109" t="str">
        <f>'Variable Capacity unit'!$AK$15</f>
        <v>Minimum</v>
      </c>
      <c r="AL15" s="109"/>
      <c r="AM15" s="109"/>
      <c r="AN15" s="109"/>
      <c r="AO15" s="109"/>
      <c r="AP15" s="123"/>
      <c r="AQ15" s="57"/>
      <c r="AR15" s="101" t="s">
        <v>105</v>
      </c>
      <c r="AS15" s="101"/>
      <c r="AT15" s="101"/>
      <c r="AU15" s="101"/>
      <c r="AV15" s="102"/>
      <c r="AW15" s="57"/>
      <c r="AX15" s="101" t="s">
        <v>106</v>
      </c>
      <c r="AY15" s="101"/>
      <c r="AZ15" s="101"/>
      <c r="BA15" s="101"/>
      <c r="BB15" s="102"/>
      <c r="BC15" s="81">
        <v>1</v>
      </c>
      <c r="BD15" s="33" t="str">
        <f>IF(AND($BC$7=2,$BC$11=2),IF($BC$15=2,"Measure","Default"),"Default")</f>
        <v>Default</v>
      </c>
      <c r="BE15" s="35" t="s">
        <v>127</v>
      </c>
      <c r="BK15" s="84"/>
      <c r="BL15" s="84"/>
      <c r="BM15" s="84"/>
      <c r="BN15" s="84"/>
      <c r="BO15" s="84"/>
      <c r="BP15" s="84"/>
      <c r="CA15" s="28"/>
      <c r="CB15" s="97" t="s">
        <v>5</v>
      </c>
      <c r="CC15" s="98" t="s">
        <v>7</v>
      </c>
      <c r="CD15" s="97" t="s">
        <v>8</v>
      </c>
      <c r="CE15" s="66" t="s">
        <v>9</v>
      </c>
      <c r="CF15" s="66" t="s">
        <v>10</v>
      </c>
      <c r="CG15" s="99" t="s">
        <v>20</v>
      </c>
      <c r="CH15" s="99"/>
      <c r="CI15" s="99"/>
      <c r="CJ15" s="99" t="s">
        <v>11</v>
      </c>
      <c r="CK15" s="99"/>
      <c r="CL15" s="99"/>
      <c r="CM15" s="67" t="s">
        <v>2</v>
      </c>
      <c r="CN15" s="99" t="s">
        <v>13</v>
      </c>
      <c r="CO15" s="99"/>
      <c r="CP15" s="99"/>
      <c r="CQ15" s="99" t="s">
        <v>16</v>
      </c>
      <c r="CR15" s="99"/>
      <c r="CS15" s="99"/>
      <c r="CT15" s="99" t="s">
        <v>17</v>
      </c>
      <c r="CU15" s="99"/>
      <c r="CV15" s="99"/>
      <c r="CW15" s="99"/>
      <c r="CX15" s="67" t="s">
        <v>3</v>
      </c>
    </row>
    <row r="16" spans="1:102" s="34" customFormat="1" ht="12" customHeight="1">
      <c r="A16" s="31"/>
      <c r="B16" s="31"/>
      <c r="C16" s="31"/>
      <c r="D16" s="123" t="str">
        <f>'Variable Capacity unit'!$D$16</f>
        <v>Half</v>
      </c>
      <c r="E16" s="124"/>
      <c r="F16" s="124"/>
      <c r="G16" s="125"/>
      <c r="H16" s="134">
        <v>2850</v>
      </c>
      <c r="I16" s="134"/>
      <c r="J16" s="134"/>
      <c r="K16" s="134"/>
      <c r="L16" s="134">
        <v>580</v>
      </c>
      <c r="M16" s="134"/>
      <c r="N16" s="134"/>
      <c r="O16" s="134"/>
      <c r="P16" s="111">
        <f>$H$16/$L$16</f>
        <v>4.9137931034482758</v>
      </c>
      <c r="Q16" s="111"/>
      <c r="R16" s="31"/>
      <c r="S16" s="31"/>
      <c r="T16" s="31"/>
      <c r="U16" s="31"/>
      <c r="V16" s="31"/>
      <c r="W16" s="31"/>
      <c r="X16" s="31"/>
      <c r="Y16" s="31"/>
      <c r="Z16" s="31"/>
      <c r="AA16" s="31"/>
      <c r="AB16" s="31"/>
      <c r="AC16" s="31"/>
      <c r="AD16" s="31"/>
      <c r="AE16" s="31"/>
      <c r="AF16" s="31"/>
      <c r="AG16" s="31"/>
      <c r="AH16" s="31"/>
      <c r="AI16" s="31" t="str">
        <f>'Variable Capacity unit'!$AI$16</f>
        <v>(29℃）</v>
      </c>
      <c r="AJ16" s="31"/>
      <c r="AK16" s="109" t="str">
        <f>'Variable Capacity unit'!$AK$16</f>
        <v>Full</v>
      </c>
      <c r="AL16" s="109"/>
      <c r="AM16" s="109"/>
      <c r="AN16" s="109"/>
      <c r="AO16" s="109"/>
      <c r="AP16" s="123"/>
      <c r="AQ16" s="105" t="s">
        <v>44</v>
      </c>
      <c r="AR16" s="105"/>
      <c r="AS16" s="105"/>
      <c r="AT16" s="105"/>
      <c r="AU16" s="105"/>
      <c r="AV16" s="105"/>
      <c r="AW16" s="105"/>
      <c r="AX16" s="105"/>
      <c r="AY16" s="105"/>
      <c r="AZ16" s="105"/>
      <c r="BA16" s="105"/>
      <c r="BB16" s="105"/>
      <c r="BC16" s="33"/>
      <c r="BD16" s="33"/>
      <c r="BE16" s="35" t="s">
        <v>127</v>
      </c>
      <c r="BK16" s="84"/>
      <c r="BL16" s="84"/>
      <c r="BM16" s="84"/>
      <c r="BN16" s="84"/>
      <c r="BO16" s="84"/>
      <c r="BP16" s="84"/>
      <c r="CA16" s="29"/>
      <c r="CB16" s="97"/>
      <c r="CC16" s="98"/>
      <c r="CD16" s="97"/>
      <c r="CE16" s="67" t="s">
        <v>216</v>
      </c>
      <c r="CF16" s="96" t="s">
        <v>217</v>
      </c>
      <c r="CG16" s="96" t="s">
        <v>218</v>
      </c>
      <c r="CH16" s="96" t="s">
        <v>219</v>
      </c>
      <c r="CI16" s="96" t="s">
        <v>220</v>
      </c>
      <c r="CJ16" s="68" t="s">
        <v>4</v>
      </c>
      <c r="CK16" s="68" t="s">
        <v>14</v>
      </c>
      <c r="CL16" s="68" t="s">
        <v>12</v>
      </c>
      <c r="CM16" s="96" t="s">
        <v>221</v>
      </c>
      <c r="CN16" s="68" t="s">
        <v>4</v>
      </c>
      <c r="CO16" s="68" t="s">
        <v>14</v>
      </c>
      <c r="CP16" s="68" t="s">
        <v>12</v>
      </c>
      <c r="CQ16" s="68" t="s">
        <v>4</v>
      </c>
      <c r="CR16" s="68" t="s">
        <v>14</v>
      </c>
      <c r="CS16" s="68" t="s">
        <v>12</v>
      </c>
      <c r="CT16" s="68" t="s">
        <v>222</v>
      </c>
      <c r="CU16" s="68" t="s">
        <v>157</v>
      </c>
      <c r="CV16" s="68" t="s">
        <v>223</v>
      </c>
      <c r="CW16" s="68" t="s">
        <v>84</v>
      </c>
      <c r="CX16" s="96" t="s">
        <v>224</v>
      </c>
    </row>
    <row r="17" spans="1:102" s="34" customFormat="1" ht="12" customHeight="1">
      <c r="A17" s="31"/>
      <c r="B17" s="31"/>
      <c r="C17" s="31"/>
      <c r="D17" s="123" t="str">
        <f>'Variable Capacity unit'!$D$17</f>
        <v>Minimum</v>
      </c>
      <c r="E17" s="124"/>
      <c r="F17" s="124"/>
      <c r="G17" s="125"/>
      <c r="H17" s="128">
        <v>1650</v>
      </c>
      <c r="I17" s="128"/>
      <c r="J17" s="128"/>
      <c r="K17" s="128"/>
      <c r="L17" s="128">
        <v>290</v>
      </c>
      <c r="M17" s="128"/>
      <c r="N17" s="128"/>
      <c r="O17" s="128"/>
      <c r="P17" s="111">
        <f>$H$17/$L$17</f>
        <v>5.6896551724137927</v>
      </c>
      <c r="Q17" s="111"/>
      <c r="R17" s="31"/>
      <c r="S17" s="31"/>
      <c r="T17" s="31"/>
      <c r="U17" s="108" t="str">
        <f>'Variable Capacity unit'!$U$17</f>
        <v>CD</v>
      </c>
      <c r="V17" s="108"/>
      <c r="W17" s="108"/>
      <c r="X17" s="108"/>
      <c r="Y17" s="142">
        <f>'Multi-stage Capacity unit'!$CH$5</f>
        <v>0.25</v>
      </c>
      <c r="Z17" s="143"/>
      <c r="AA17" s="143"/>
      <c r="AB17" s="144"/>
      <c r="AC17" s="142">
        <f>'Multi-stage Capacity unit'!CH64</f>
        <v>0.25</v>
      </c>
      <c r="AD17" s="130"/>
      <c r="AE17" s="130"/>
      <c r="AF17" s="131"/>
      <c r="AG17" s="31"/>
      <c r="AH17" s="31"/>
      <c r="AI17" s="31"/>
      <c r="AJ17" s="31"/>
      <c r="AK17" s="109" t="str">
        <f>'Variable Capacity unit'!$AK$17</f>
        <v>Half</v>
      </c>
      <c r="AL17" s="109"/>
      <c r="AM17" s="109"/>
      <c r="AN17" s="109"/>
      <c r="AO17" s="109"/>
      <c r="AP17" s="123"/>
      <c r="AQ17" s="120" t="s">
        <v>44</v>
      </c>
      <c r="AR17" s="120"/>
      <c r="AS17" s="120"/>
      <c r="AT17" s="120"/>
      <c r="AU17" s="120"/>
      <c r="AV17" s="120"/>
      <c r="AW17" s="120"/>
      <c r="AX17" s="120"/>
      <c r="AY17" s="120"/>
      <c r="AZ17" s="120"/>
      <c r="BA17" s="120"/>
      <c r="BB17" s="120"/>
      <c r="BC17" s="33"/>
      <c r="BD17" s="33"/>
      <c r="BE17" s="35" t="s">
        <v>127</v>
      </c>
      <c r="BK17" s="84"/>
      <c r="BL17" s="84"/>
      <c r="BM17" s="84"/>
      <c r="BN17" s="84"/>
      <c r="BO17" s="84"/>
      <c r="BP17" s="84"/>
      <c r="CA17" s="29"/>
      <c r="CB17" s="63" t="s">
        <v>6</v>
      </c>
      <c r="CC17" s="63" t="s">
        <v>225</v>
      </c>
      <c r="CD17" s="63" t="s">
        <v>226</v>
      </c>
      <c r="CE17" s="68" t="s">
        <v>15</v>
      </c>
      <c r="CF17" s="99"/>
      <c r="CG17" s="99"/>
      <c r="CH17" s="99"/>
      <c r="CI17" s="99"/>
      <c r="CJ17" s="67" t="s">
        <v>227</v>
      </c>
      <c r="CK17" s="67" t="s">
        <v>228</v>
      </c>
      <c r="CL17" s="67" t="s">
        <v>229</v>
      </c>
      <c r="CM17" s="96"/>
      <c r="CN17" s="67" t="s">
        <v>230</v>
      </c>
      <c r="CO17" s="67" t="s">
        <v>231</v>
      </c>
      <c r="CP17" s="67" t="s">
        <v>173</v>
      </c>
      <c r="CQ17" s="67" t="s">
        <v>232</v>
      </c>
      <c r="CR17" s="67" t="s">
        <v>233</v>
      </c>
      <c r="CS17" s="67" t="s">
        <v>234</v>
      </c>
      <c r="CT17" s="67" t="s">
        <v>235</v>
      </c>
      <c r="CU17" s="67" t="s">
        <v>236</v>
      </c>
      <c r="CV17" s="67" t="s">
        <v>237</v>
      </c>
      <c r="CW17" s="67" t="s">
        <v>238</v>
      </c>
      <c r="CX17" s="96"/>
    </row>
    <row r="18" spans="1:102" s="34" customFormat="1" ht="12" customHeight="1">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109" t="str">
        <f>'Variable Capacity unit'!$AK$18</f>
        <v>Minimum</v>
      </c>
      <c r="AL18" s="109"/>
      <c r="AM18" s="109"/>
      <c r="AN18" s="109"/>
      <c r="AO18" s="109"/>
      <c r="AP18" s="123"/>
      <c r="AQ18" s="57"/>
      <c r="AR18" s="155" t="s">
        <v>45</v>
      </c>
      <c r="AS18" s="155"/>
      <c r="AT18" s="155"/>
      <c r="AU18" s="155"/>
      <c r="AV18" s="156"/>
      <c r="AW18" s="57"/>
      <c r="AX18" s="155" t="s">
        <v>44</v>
      </c>
      <c r="AY18" s="155"/>
      <c r="AZ18" s="155"/>
      <c r="BA18" s="155"/>
      <c r="BB18" s="156"/>
      <c r="BC18" s="81">
        <v>1</v>
      </c>
      <c r="BD18" s="33" t="str">
        <f>IF(AND($BC$7=2,$BC$11=2),"Measure","Default")</f>
        <v>Default</v>
      </c>
      <c r="BE18" s="35" t="s">
        <v>127</v>
      </c>
      <c r="BK18" s="84"/>
      <c r="BL18" s="84"/>
      <c r="BM18" s="84"/>
      <c r="BN18" s="84"/>
      <c r="BO18" s="84"/>
      <c r="BP18" s="84"/>
      <c r="CA18" s="29"/>
      <c r="CB18" s="63">
        <v>1</v>
      </c>
      <c r="CC18" s="63">
        <f>data!$D22</f>
        <v>15</v>
      </c>
      <c r="CD18" s="63">
        <f>data!$E22</f>
        <v>0</v>
      </c>
      <c r="CE18" s="70">
        <f t="shared" ref="CE18:CE48" si="0">IF($CC$3*($CC18-$CH$8)/($CH$9-$CH$8)&lt;0,0,$CC$3*($CC18-$CH$8)/($CH$9-$CH$8))</f>
        <v>0</v>
      </c>
      <c r="CF18" s="71">
        <f t="shared" ref="CF18:CF48" si="1">1-$CH$5*(1-$CG18)</f>
        <v>0.75</v>
      </c>
      <c r="CG18" s="71">
        <f t="shared" ref="CG18:CG48" si="2">IF($CE18&lt;$CL18,$CE18/$CL18,1)</f>
        <v>0</v>
      </c>
      <c r="CH18" s="71">
        <f t="shared" ref="CH18:CH48" si="3">IF($CK18-$CL18=0,0,IF(($CK18-$CE18)/($CK18-$CL18)&gt;1,1,IF(($CK18-$CE18)/($CK18-$CL18)&lt;0,0,($CK18-$CE18)/($CK18-$CL18))))</f>
        <v>0</v>
      </c>
      <c r="CI18" s="71">
        <f t="shared" ref="CI18:CI48" si="4">IF(($CJ18-$CE18)/($CJ18-$CK18)&gt;1,1,IF(($CJ18-$CE18)/($CJ18-$CK18)&lt;0,0,($CJ18-$CE18)/($CJ18-$CK18)))</f>
        <v>1</v>
      </c>
      <c r="CJ18" s="72">
        <f t="shared" ref="CJ18:CJ48" si="5">$CC$6+($CC$11-$CC$6)/(35-29)*(35-$CC18)</f>
        <v>7000</v>
      </c>
      <c r="CK18" s="72">
        <f t="shared" ref="CK18:CK48" si="6">$CD$6+($CD$11-$CD$6)/(35-29)*(35-$CC18)</f>
        <v>3325.4410399257195</v>
      </c>
      <c r="CL18" s="72">
        <f t="shared" ref="CL18:CL48" si="7">$CE$6+($CE$11-$CE$6)/(35-29)*(35-$CC18)</f>
        <v>3325.4410399257195</v>
      </c>
      <c r="CM18" s="70">
        <f t="shared" ref="CM18:CM48" si="8">IF($CE18&lt;$CJ18,$CE18*$CD18,$CJ18*$CD18)</f>
        <v>0</v>
      </c>
      <c r="CN18" s="72">
        <f t="shared" ref="CN18:CN48" si="9">$CC$7+($CC$12-$CC$7)/(35-29)*(35-$CC18)</f>
        <v>1120</v>
      </c>
      <c r="CO18" s="72">
        <f t="shared" ref="CO18:CO48" si="10">$CD$7+($CD$12-$CD$7)/(35-29)*(35-$CC18)</f>
        <v>452.66229029905196</v>
      </c>
      <c r="CP18" s="72">
        <f t="shared" ref="CP18:CP48" si="11">$CE$7+($CE$12-$CE$7)/(35-29)*(35-$CC18)</f>
        <v>452.66229029905196</v>
      </c>
      <c r="CQ18" s="45">
        <f t="shared" ref="CQ18:CQ48" si="12">$CJ18/$CN18</f>
        <v>6.25</v>
      </c>
      <c r="CR18" s="45">
        <f t="shared" ref="CR18:CR48" si="13">$CK18/$CO18</f>
        <v>7.3464061645796965</v>
      </c>
      <c r="CS18" s="45">
        <f t="shared" ref="CS18:CS48" si="14">$CL18/$CP18</f>
        <v>7.3464061645796965</v>
      </c>
      <c r="CT18" s="72">
        <f t="shared" ref="CT18:CT48" si="15">IF($CE18&lt;=$CL18,$CG18*$CP18/$CF18,0)</f>
        <v>0</v>
      </c>
      <c r="CU18" s="72">
        <f t="shared" ref="CU18:CU48" si="16">IF($CL18&lt;$CE18,IF($CE18&lt;=$CK18,$CH18*$CP18+(1-$CH18)*$CO18,0),0)</f>
        <v>0</v>
      </c>
      <c r="CV18" s="72">
        <f t="shared" ref="CV18:CV48" si="17">IF($CK18&lt;$CE18,IF($CE18&lt;=$CJ18,$CI18*$CO18+(1-$CI18)*$CN18,0),0)</f>
        <v>0</v>
      </c>
      <c r="CW18" s="72">
        <f t="shared" ref="CW18:CW48" si="18">IF($CE18&gt;$CJ18,$CN18,0)</f>
        <v>0</v>
      </c>
      <c r="CX18" s="70">
        <f t="shared" ref="CX18:CX48" si="19">IF($CF18=0,0,$CT18*$CD18+$CU18*$CD18+$CV18*$CD18+$CW18*$CD18)</f>
        <v>0</v>
      </c>
    </row>
    <row r="19" spans="1:102" s="34" customFormat="1" ht="12" customHeight="1">
      <c r="A19" s="31"/>
      <c r="B19" s="31"/>
      <c r="C19" s="31"/>
      <c r="D19" s="31" t="str">
        <f>'Variable Capacity unit'!$D$19</f>
        <v>Low humidity and Cyclic condition (29℃)</v>
      </c>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2"/>
      <c r="AR19" s="32"/>
      <c r="AS19" s="32"/>
      <c r="AT19" s="32"/>
      <c r="AU19" s="32"/>
      <c r="AV19" s="32"/>
      <c r="AW19" s="32"/>
      <c r="AX19" s="32"/>
      <c r="AY19" s="32"/>
      <c r="AZ19" s="32"/>
      <c r="BA19" s="32"/>
      <c r="BB19" s="32"/>
      <c r="BC19" s="33"/>
      <c r="BD19" s="33"/>
      <c r="BE19" s="35" t="s">
        <v>127</v>
      </c>
      <c r="BK19" s="50"/>
      <c r="BL19" s="50"/>
      <c r="BM19" s="50"/>
      <c r="BN19" s="50"/>
      <c r="BO19" s="50"/>
      <c r="BP19" s="50"/>
      <c r="CA19" s="29"/>
      <c r="CB19" s="63">
        <v>2</v>
      </c>
      <c r="CC19" s="63">
        <f>data!$D23</f>
        <v>16</v>
      </c>
      <c r="CD19" s="63">
        <f>data!$E23</f>
        <v>0</v>
      </c>
      <c r="CE19" s="70">
        <f t="shared" si="0"/>
        <v>0</v>
      </c>
      <c r="CF19" s="71">
        <f t="shared" si="1"/>
        <v>0.75</v>
      </c>
      <c r="CG19" s="71">
        <f t="shared" si="2"/>
        <v>0</v>
      </c>
      <c r="CH19" s="71">
        <f t="shared" si="3"/>
        <v>0</v>
      </c>
      <c r="CI19" s="71">
        <f t="shared" si="4"/>
        <v>1</v>
      </c>
      <c r="CJ19" s="72">
        <f t="shared" si="5"/>
        <v>6925</v>
      </c>
      <c r="CK19" s="72">
        <f t="shared" si="6"/>
        <v>3291.4809656453108</v>
      </c>
      <c r="CL19" s="72">
        <f t="shared" si="7"/>
        <v>3291.4809656453108</v>
      </c>
      <c r="CM19" s="70">
        <f t="shared" si="8"/>
        <v>0</v>
      </c>
      <c r="CN19" s="72">
        <f t="shared" si="9"/>
        <v>1140</v>
      </c>
      <c r="CO19" s="72">
        <f t="shared" si="10"/>
        <v>461.75784099197682</v>
      </c>
      <c r="CP19" s="72">
        <f t="shared" si="11"/>
        <v>461.75784099197682</v>
      </c>
      <c r="CQ19" s="45">
        <f t="shared" si="12"/>
        <v>6.0745614035087723</v>
      </c>
      <c r="CR19" s="45">
        <f t="shared" si="13"/>
        <v>7.1281539227885062</v>
      </c>
      <c r="CS19" s="45">
        <f t="shared" si="14"/>
        <v>7.1281539227885062</v>
      </c>
      <c r="CT19" s="72">
        <f t="shared" si="15"/>
        <v>0</v>
      </c>
      <c r="CU19" s="72">
        <f t="shared" si="16"/>
        <v>0</v>
      </c>
      <c r="CV19" s="72">
        <f t="shared" si="17"/>
        <v>0</v>
      </c>
      <c r="CW19" s="72">
        <f t="shared" si="18"/>
        <v>0</v>
      </c>
      <c r="CX19" s="70">
        <f t="shared" si="19"/>
        <v>0</v>
      </c>
    </row>
    <row r="20" spans="1:102" s="34" customFormat="1" ht="12" customHeight="1">
      <c r="A20" s="31"/>
      <c r="B20" s="31"/>
      <c r="C20" s="31"/>
      <c r="D20" s="31"/>
      <c r="E20" s="31"/>
      <c r="F20" s="31"/>
      <c r="G20" s="31"/>
      <c r="H20" s="154" t="str">
        <f>'Variable Capacity unit'!$H$8</f>
        <v>Capacity [W]</v>
      </c>
      <c r="I20" s="154"/>
      <c r="J20" s="154"/>
      <c r="K20" s="154"/>
      <c r="L20" s="154" t="str">
        <f>'Variable Capacity unit'!$L$8</f>
        <v>Power [W]</v>
      </c>
      <c r="M20" s="154"/>
      <c r="N20" s="154"/>
      <c r="O20" s="154"/>
      <c r="P20" s="103" t="str">
        <f>'Variable Capacity unit'!$P$8</f>
        <v>EER</v>
      </c>
      <c r="Q20" s="104"/>
      <c r="R20" s="31"/>
      <c r="S20" s="31"/>
      <c r="T20" s="31"/>
      <c r="U20" s="31"/>
      <c r="V20" s="31"/>
      <c r="W20" s="31"/>
      <c r="X20" s="31"/>
      <c r="Y20" s="31"/>
      <c r="Z20" s="31"/>
      <c r="AA20" s="31"/>
      <c r="AB20" s="31"/>
      <c r="AC20" s="31"/>
      <c r="AD20" s="31"/>
      <c r="AE20" s="31"/>
      <c r="AF20" s="31"/>
      <c r="AG20" s="31"/>
      <c r="AH20" s="31"/>
      <c r="AI20" s="31" t="str">
        <f>'Variable Capacity unit'!$AI$21</f>
        <v>(29℃ Low Humidity and cyclic)</v>
      </c>
      <c r="AJ20" s="31"/>
      <c r="AK20" s="31"/>
      <c r="AL20" s="31"/>
      <c r="AM20" s="31"/>
      <c r="AN20" s="31"/>
      <c r="AO20" s="31"/>
      <c r="AP20" s="31"/>
      <c r="AQ20" s="32"/>
      <c r="AR20" s="32"/>
      <c r="AS20" s="32"/>
      <c r="AT20" s="32"/>
      <c r="AU20" s="32"/>
      <c r="AV20" s="32"/>
      <c r="AW20" s="32"/>
      <c r="AX20" s="32"/>
      <c r="AY20" s="32"/>
      <c r="AZ20" s="32"/>
      <c r="BA20" s="32"/>
      <c r="BB20" s="32"/>
      <c r="BC20" s="33"/>
      <c r="BD20" s="33"/>
      <c r="BE20" s="35" t="s">
        <v>127</v>
      </c>
      <c r="BK20" s="50"/>
      <c r="BL20" s="50"/>
      <c r="BM20" s="50"/>
      <c r="BN20" s="50"/>
      <c r="BO20" s="50"/>
      <c r="BP20" s="50"/>
      <c r="CA20" s="29"/>
      <c r="CB20" s="63">
        <v>3</v>
      </c>
      <c r="CC20" s="63">
        <f>data!$D24</f>
        <v>17</v>
      </c>
      <c r="CD20" s="63">
        <f>data!$E24</f>
        <v>0</v>
      </c>
      <c r="CE20" s="70">
        <f t="shared" si="0"/>
        <v>0</v>
      </c>
      <c r="CF20" s="71">
        <f t="shared" si="1"/>
        <v>0.75</v>
      </c>
      <c r="CG20" s="71">
        <f t="shared" si="2"/>
        <v>0</v>
      </c>
      <c r="CH20" s="71">
        <f t="shared" si="3"/>
        <v>0</v>
      </c>
      <c r="CI20" s="71">
        <f t="shared" si="4"/>
        <v>1</v>
      </c>
      <c r="CJ20" s="72">
        <f t="shared" si="5"/>
        <v>6850</v>
      </c>
      <c r="CK20" s="72">
        <f t="shared" si="6"/>
        <v>3257.5208913649021</v>
      </c>
      <c r="CL20" s="72">
        <f t="shared" si="7"/>
        <v>3257.5208913649021</v>
      </c>
      <c r="CM20" s="70">
        <f t="shared" si="8"/>
        <v>0</v>
      </c>
      <c r="CN20" s="72">
        <f t="shared" si="9"/>
        <v>1160</v>
      </c>
      <c r="CO20" s="72">
        <f t="shared" si="10"/>
        <v>470.85339168490168</v>
      </c>
      <c r="CP20" s="72">
        <f t="shared" si="11"/>
        <v>470.85339168490168</v>
      </c>
      <c r="CQ20" s="45">
        <f t="shared" si="12"/>
        <v>5.9051724137931032</v>
      </c>
      <c r="CR20" s="45">
        <f t="shared" si="13"/>
        <v>6.9183337083082064</v>
      </c>
      <c r="CS20" s="45">
        <f t="shared" si="14"/>
        <v>6.9183337083082064</v>
      </c>
      <c r="CT20" s="72">
        <f t="shared" si="15"/>
        <v>0</v>
      </c>
      <c r="CU20" s="72">
        <f t="shared" si="16"/>
        <v>0</v>
      </c>
      <c r="CV20" s="72">
        <f t="shared" si="17"/>
        <v>0</v>
      </c>
      <c r="CW20" s="72">
        <f t="shared" si="18"/>
        <v>0</v>
      </c>
      <c r="CX20" s="70">
        <f t="shared" si="19"/>
        <v>0</v>
      </c>
    </row>
    <row r="21" spans="1:102" s="34" customFormat="1" ht="12" customHeight="1">
      <c r="A21" s="31"/>
      <c r="B21" s="31"/>
      <c r="C21" s="31"/>
      <c r="D21" s="108" t="str">
        <f>'Variable Capacity unit'!$D$21</f>
        <v>Half Dry Coil</v>
      </c>
      <c r="E21" s="108"/>
      <c r="F21" s="108"/>
      <c r="G21" s="108"/>
      <c r="H21" s="140">
        <v>3300</v>
      </c>
      <c r="I21" s="140"/>
      <c r="J21" s="140"/>
      <c r="K21" s="140"/>
      <c r="L21" s="140">
        <v>580</v>
      </c>
      <c r="M21" s="140"/>
      <c r="N21" s="140"/>
      <c r="O21" s="140"/>
      <c r="P21" s="108">
        <f>$H$21/$L$21</f>
        <v>5.6896551724137927</v>
      </c>
      <c r="Q21" s="108"/>
      <c r="R21" s="31"/>
      <c r="S21" s="31"/>
      <c r="T21" s="31"/>
      <c r="U21" s="31"/>
      <c r="V21" s="31"/>
      <c r="W21" s="31"/>
      <c r="X21" s="31"/>
      <c r="Y21" s="31"/>
      <c r="Z21" s="31"/>
      <c r="AA21" s="31"/>
      <c r="AB21" s="31"/>
      <c r="AC21" s="31"/>
      <c r="AD21" s="31"/>
      <c r="AE21" s="31"/>
      <c r="AF21" s="31"/>
      <c r="AG21" s="31"/>
      <c r="AH21" s="31"/>
      <c r="AI21" s="31"/>
      <c r="AJ21" s="31"/>
      <c r="AK21" s="108" t="str">
        <f>'Variable Capacity unit'!$AK$22</f>
        <v>Half Dry Coil</v>
      </c>
      <c r="AL21" s="108"/>
      <c r="AM21" s="108"/>
      <c r="AN21" s="108"/>
      <c r="AO21" s="108"/>
      <c r="AP21" s="129"/>
      <c r="AQ21" s="69"/>
      <c r="AR21" s="157" t="s">
        <v>105</v>
      </c>
      <c r="AS21" s="157"/>
      <c r="AT21" s="157"/>
      <c r="AU21" s="157"/>
      <c r="AV21" s="158"/>
      <c r="AW21" s="69"/>
      <c r="AX21" s="157" t="s">
        <v>106</v>
      </c>
      <c r="AY21" s="157"/>
      <c r="AZ21" s="157"/>
      <c r="BA21" s="157"/>
      <c r="BB21" s="158"/>
      <c r="BC21" s="81">
        <v>1</v>
      </c>
      <c r="BD21" s="33" t="str">
        <f>IF(AND($BC$7=2,$BC$11=1),IF($BC$21=2,"Measure","Default"),"Default")</f>
        <v>Default</v>
      </c>
      <c r="BE21" s="35" t="s">
        <v>127</v>
      </c>
      <c r="BK21" s="50"/>
      <c r="BL21" s="50"/>
      <c r="BM21" s="50"/>
      <c r="BN21" s="50"/>
      <c r="BO21" s="50"/>
      <c r="BP21" s="50"/>
      <c r="CA21" s="29"/>
      <c r="CB21" s="63">
        <v>4</v>
      </c>
      <c r="CC21" s="63">
        <f>data!$D25</f>
        <v>18</v>
      </c>
      <c r="CD21" s="63">
        <f>data!$E25</f>
        <v>0</v>
      </c>
      <c r="CE21" s="70">
        <f t="shared" si="0"/>
        <v>0</v>
      </c>
      <c r="CF21" s="71">
        <f t="shared" si="1"/>
        <v>0.75</v>
      </c>
      <c r="CG21" s="71">
        <f t="shared" si="2"/>
        <v>0</v>
      </c>
      <c r="CH21" s="71">
        <f t="shared" si="3"/>
        <v>0</v>
      </c>
      <c r="CI21" s="71">
        <f t="shared" si="4"/>
        <v>1</v>
      </c>
      <c r="CJ21" s="72">
        <f t="shared" si="5"/>
        <v>6775</v>
      </c>
      <c r="CK21" s="72">
        <f t="shared" si="6"/>
        <v>3223.5608170844935</v>
      </c>
      <c r="CL21" s="72">
        <f t="shared" si="7"/>
        <v>3223.5608170844935</v>
      </c>
      <c r="CM21" s="70">
        <f t="shared" si="8"/>
        <v>0</v>
      </c>
      <c r="CN21" s="72">
        <f t="shared" si="9"/>
        <v>1180</v>
      </c>
      <c r="CO21" s="72">
        <f t="shared" si="10"/>
        <v>479.94894237782654</v>
      </c>
      <c r="CP21" s="72">
        <f t="shared" si="11"/>
        <v>479.94894237782654</v>
      </c>
      <c r="CQ21" s="45">
        <f t="shared" si="12"/>
        <v>5.7415254237288131</v>
      </c>
      <c r="CR21" s="45">
        <f t="shared" si="13"/>
        <v>6.7164661330722017</v>
      </c>
      <c r="CS21" s="45">
        <f t="shared" si="14"/>
        <v>6.7164661330722017</v>
      </c>
      <c r="CT21" s="72">
        <f t="shared" si="15"/>
        <v>0</v>
      </c>
      <c r="CU21" s="72">
        <f t="shared" si="16"/>
        <v>0</v>
      </c>
      <c r="CV21" s="72">
        <f t="shared" si="17"/>
        <v>0</v>
      </c>
      <c r="CW21" s="72">
        <f t="shared" si="18"/>
        <v>0</v>
      </c>
      <c r="CX21" s="70">
        <f t="shared" si="19"/>
        <v>0</v>
      </c>
    </row>
    <row r="22" spans="1:102" s="34" customFormat="1" ht="12" customHeight="1">
      <c r="A22" s="31"/>
      <c r="B22" s="31"/>
      <c r="C22" s="31"/>
      <c r="D22" s="108" t="str">
        <f>'Variable Capacity unit'!$D$22</f>
        <v>Half Cyclic</v>
      </c>
      <c r="E22" s="108"/>
      <c r="F22" s="108"/>
      <c r="G22" s="108"/>
      <c r="H22" s="140">
        <v>2500</v>
      </c>
      <c r="I22" s="140"/>
      <c r="J22" s="140"/>
      <c r="K22" s="140"/>
      <c r="L22" s="140">
        <v>480</v>
      </c>
      <c r="M22" s="140"/>
      <c r="N22" s="140"/>
      <c r="O22" s="140"/>
      <c r="P22" s="147">
        <f>$H$22/$L$22</f>
        <v>5.208333333333333</v>
      </c>
      <c r="Q22" s="147"/>
      <c r="R22" s="31"/>
      <c r="S22" s="31"/>
      <c r="T22" s="31"/>
      <c r="U22" s="31"/>
      <c r="V22" s="31"/>
      <c r="W22" s="31"/>
      <c r="X22" s="31"/>
      <c r="Y22" s="31"/>
      <c r="Z22" s="31"/>
      <c r="AA22" s="31"/>
      <c r="AB22" s="31"/>
      <c r="AC22" s="31"/>
      <c r="AD22" s="31"/>
      <c r="AE22" s="31"/>
      <c r="AF22" s="31"/>
      <c r="AG22" s="31"/>
      <c r="AH22" s="31"/>
      <c r="AI22" s="31"/>
      <c r="AJ22" s="31"/>
      <c r="AK22" s="108" t="str">
        <f>'Variable Capacity unit'!$AK$23</f>
        <v>Half Cyclic</v>
      </c>
      <c r="AL22" s="108"/>
      <c r="AM22" s="108"/>
      <c r="AN22" s="108"/>
      <c r="AO22" s="108"/>
      <c r="AP22" s="129"/>
      <c r="AQ22" s="85"/>
      <c r="AR22" s="159"/>
      <c r="AS22" s="159"/>
      <c r="AT22" s="159"/>
      <c r="AU22" s="159"/>
      <c r="AV22" s="160"/>
      <c r="AW22" s="85"/>
      <c r="AX22" s="159"/>
      <c r="AY22" s="159"/>
      <c r="AZ22" s="159"/>
      <c r="BA22" s="159"/>
      <c r="BB22" s="160"/>
      <c r="BC22" s="33"/>
      <c r="BD22" s="33"/>
      <c r="BE22" s="35" t="s">
        <v>127</v>
      </c>
      <c r="BK22" s="50"/>
      <c r="BL22" s="50"/>
      <c r="BM22" s="50"/>
      <c r="BN22" s="50"/>
      <c r="BO22" s="50"/>
      <c r="BP22" s="50"/>
      <c r="CA22" s="29"/>
      <c r="CB22" s="63">
        <v>5</v>
      </c>
      <c r="CC22" s="63">
        <f>data!$D26</f>
        <v>19</v>
      </c>
      <c r="CD22" s="63">
        <f>data!$E26</f>
        <v>0</v>
      </c>
      <c r="CE22" s="70">
        <f t="shared" si="0"/>
        <v>0</v>
      </c>
      <c r="CF22" s="71">
        <f t="shared" si="1"/>
        <v>0.75</v>
      </c>
      <c r="CG22" s="71">
        <f t="shared" si="2"/>
        <v>0</v>
      </c>
      <c r="CH22" s="71">
        <f t="shared" si="3"/>
        <v>0</v>
      </c>
      <c r="CI22" s="71">
        <f t="shared" si="4"/>
        <v>1</v>
      </c>
      <c r="CJ22" s="72">
        <f t="shared" si="5"/>
        <v>6700</v>
      </c>
      <c r="CK22" s="72">
        <f t="shared" si="6"/>
        <v>3189.6007428040853</v>
      </c>
      <c r="CL22" s="72">
        <f t="shared" si="7"/>
        <v>3189.6007428040853</v>
      </c>
      <c r="CM22" s="70">
        <f t="shared" si="8"/>
        <v>0</v>
      </c>
      <c r="CN22" s="72">
        <f t="shared" si="9"/>
        <v>1200</v>
      </c>
      <c r="CO22" s="72">
        <f t="shared" si="10"/>
        <v>489.0444930707514</v>
      </c>
      <c r="CP22" s="72">
        <f t="shared" si="11"/>
        <v>489.0444930707514</v>
      </c>
      <c r="CQ22" s="45">
        <f t="shared" si="12"/>
        <v>5.583333333333333</v>
      </c>
      <c r="CR22" s="45">
        <f t="shared" si="13"/>
        <v>6.5221074728320003</v>
      </c>
      <c r="CS22" s="45">
        <f t="shared" si="14"/>
        <v>6.5221074728320003</v>
      </c>
      <c r="CT22" s="72">
        <f t="shared" si="15"/>
        <v>0</v>
      </c>
      <c r="CU22" s="72">
        <f t="shared" si="16"/>
        <v>0</v>
      </c>
      <c r="CV22" s="72">
        <f t="shared" si="17"/>
        <v>0</v>
      </c>
      <c r="CW22" s="72">
        <f t="shared" si="18"/>
        <v>0</v>
      </c>
      <c r="CX22" s="70">
        <f t="shared" si="19"/>
        <v>0</v>
      </c>
    </row>
    <row r="23" spans="1:102" s="34" customFormat="1" ht="12" customHeight="1">
      <c r="A23" s="31"/>
      <c r="B23" s="31"/>
      <c r="C23" s="31"/>
      <c r="D23" s="108" t="str">
        <f>'Variable Capacity unit'!$D$23</f>
        <v>Min Dry Coil</v>
      </c>
      <c r="E23" s="108"/>
      <c r="F23" s="108"/>
      <c r="G23" s="108"/>
      <c r="H23" s="140">
        <v>3500</v>
      </c>
      <c r="I23" s="140"/>
      <c r="J23" s="140"/>
      <c r="K23" s="140"/>
      <c r="L23" s="140">
        <v>600</v>
      </c>
      <c r="M23" s="140"/>
      <c r="N23" s="140"/>
      <c r="O23" s="140"/>
      <c r="P23" s="147">
        <f>$H$23/$L$23</f>
        <v>5.833333333333333</v>
      </c>
      <c r="Q23" s="147"/>
      <c r="R23" s="31"/>
      <c r="S23" s="31"/>
      <c r="T23" s="31"/>
      <c r="U23" s="31"/>
      <c r="V23" s="31"/>
      <c r="W23" s="31"/>
      <c r="X23" s="31"/>
      <c r="Y23" s="31"/>
      <c r="Z23" s="31"/>
      <c r="AA23" s="31"/>
      <c r="AB23" s="31"/>
      <c r="AC23" s="31"/>
      <c r="AD23" s="31"/>
      <c r="AE23" s="31"/>
      <c r="AF23" s="31"/>
      <c r="AG23" s="31"/>
      <c r="AH23" s="31"/>
      <c r="AI23" s="31"/>
      <c r="AJ23" s="31"/>
      <c r="AK23" s="108" t="str">
        <f>'Variable Capacity unit'!$AK$24</f>
        <v>Min Dry Coil</v>
      </c>
      <c r="AL23" s="108"/>
      <c r="AM23" s="108"/>
      <c r="AN23" s="108"/>
      <c r="AO23" s="108"/>
      <c r="AP23" s="129"/>
      <c r="AQ23" s="86"/>
      <c r="AR23" s="157" t="s">
        <v>114</v>
      </c>
      <c r="AS23" s="157"/>
      <c r="AT23" s="157"/>
      <c r="AU23" s="157"/>
      <c r="AV23" s="158"/>
      <c r="AW23" s="86"/>
      <c r="AX23" s="157" t="s">
        <v>115</v>
      </c>
      <c r="AY23" s="157"/>
      <c r="AZ23" s="157"/>
      <c r="BA23" s="157"/>
      <c r="BB23" s="158"/>
      <c r="BC23" s="81">
        <v>1</v>
      </c>
      <c r="BD23" s="33" t="str">
        <f>IF(AND($BC$7=2,$BC$11=2),IF($BC$23=2,"Measure","Default"),"Default")</f>
        <v>Default</v>
      </c>
      <c r="BE23" s="35" t="s">
        <v>127</v>
      </c>
      <c r="BK23" s="50"/>
      <c r="BL23" s="50"/>
      <c r="BM23" s="50"/>
      <c r="BN23" s="50"/>
      <c r="BO23" s="50"/>
      <c r="BP23" s="50"/>
      <c r="CA23" s="29"/>
      <c r="CB23" s="63">
        <v>6</v>
      </c>
      <c r="CC23" s="63">
        <f>data!$D27</f>
        <v>20</v>
      </c>
      <c r="CD23" s="63">
        <f>data!$E27</f>
        <v>0</v>
      </c>
      <c r="CE23" s="70">
        <f t="shared" si="0"/>
        <v>0</v>
      </c>
      <c r="CF23" s="71">
        <f t="shared" si="1"/>
        <v>0.75</v>
      </c>
      <c r="CG23" s="71">
        <f t="shared" si="2"/>
        <v>0</v>
      </c>
      <c r="CH23" s="71">
        <f t="shared" si="3"/>
        <v>0</v>
      </c>
      <c r="CI23" s="71">
        <f t="shared" si="4"/>
        <v>1</v>
      </c>
      <c r="CJ23" s="72">
        <f t="shared" si="5"/>
        <v>6625</v>
      </c>
      <c r="CK23" s="72">
        <f t="shared" si="6"/>
        <v>3155.6406685236766</v>
      </c>
      <c r="CL23" s="72">
        <f t="shared" si="7"/>
        <v>3155.6406685236766</v>
      </c>
      <c r="CM23" s="70">
        <f t="shared" si="8"/>
        <v>0</v>
      </c>
      <c r="CN23" s="72">
        <f t="shared" si="9"/>
        <v>1220</v>
      </c>
      <c r="CO23" s="72">
        <f t="shared" si="10"/>
        <v>498.14004376367626</v>
      </c>
      <c r="CP23" s="72">
        <f t="shared" si="11"/>
        <v>498.14004376367626</v>
      </c>
      <c r="CQ23" s="45">
        <f t="shared" si="12"/>
        <v>5.4303278688524594</v>
      </c>
      <c r="CR23" s="45">
        <f t="shared" si="13"/>
        <v>6.334846411224774</v>
      </c>
      <c r="CS23" s="45">
        <f t="shared" si="14"/>
        <v>6.334846411224774</v>
      </c>
      <c r="CT23" s="72">
        <f t="shared" si="15"/>
        <v>0</v>
      </c>
      <c r="CU23" s="72">
        <f t="shared" si="16"/>
        <v>0</v>
      </c>
      <c r="CV23" s="72">
        <f t="shared" si="17"/>
        <v>0</v>
      </c>
      <c r="CW23" s="72">
        <f t="shared" si="18"/>
        <v>0</v>
      </c>
      <c r="CX23" s="70">
        <f t="shared" si="19"/>
        <v>0</v>
      </c>
    </row>
    <row r="24" spans="1:102" s="34" customFormat="1" ht="12" customHeight="1">
      <c r="A24" s="31"/>
      <c r="B24" s="31"/>
      <c r="C24" s="31"/>
      <c r="D24" s="108" t="str">
        <f>'Variable Capacity unit'!$D$24</f>
        <v>Min Cyclic</v>
      </c>
      <c r="E24" s="108"/>
      <c r="F24" s="108"/>
      <c r="G24" s="108"/>
      <c r="H24" s="140">
        <v>2600</v>
      </c>
      <c r="I24" s="140"/>
      <c r="J24" s="140"/>
      <c r="K24" s="140"/>
      <c r="L24" s="140">
        <v>500</v>
      </c>
      <c r="M24" s="140"/>
      <c r="N24" s="140"/>
      <c r="O24" s="140"/>
      <c r="P24" s="147">
        <f>$H$24/$L$24</f>
        <v>5.2</v>
      </c>
      <c r="Q24" s="147"/>
      <c r="R24" s="31"/>
      <c r="S24" s="31"/>
      <c r="T24" s="31"/>
      <c r="U24" s="31"/>
      <c r="V24" s="31"/>
      <c r="W24" s="31"/>
      <c r="X24" s="31"/>
      <c r="Y24" s="31"/>
      <c r="Z24" s="31"/>
      <c r="AA24" s="31"/>
      <c r="AB24" s="31"/>
      <c r="AC24" s="31"/>
      <c r="AD24" s="31"/>
      <c r="AE24" s="31"/>
      <c r="AF24" s="31"/>
      <c r="AG24" s="31"/>
      <c r="AH24" s="31"/>
      <c r="AI24" s="31"/>
      <c r="AJ24" s="31"/>
      <c r="AK24" s="108" t="str">
        <f>'Variable Capacity unit'!$AK$25</f>
        <v>Min Cyclic</v>
      </c>
      <c r="AL24" s="108"/>
      <c r="AM24" s="108"/>
      <c r="AN24" s="108"/>
      <c r="AO24" s="108"/>
      <c r="AP24" s="129"/>
      <c r="AQ24" s="85"/>
      <c r="AR24" s="159"/>
      <c r="AS24" s="159"/>
      <c r="AT24" s="159"/>
      <c r="AU24" s="159"/>
      <c r="AV24" s="160"/>
      <c r="AW24" s="85"/>
      <c r="AX24" s="159"/>
      <c r="AY24" s="159"/>
      <c r="AZ24" s="159"/>
      <c r="BA24" s="159"/>
      <c r="BB24" s="160"/>
      <c r="BC24" s="33"/>
      <c r="BD24" s="33"/>
      <c r="BE24" s="35" t="s">
        <v>127</v>
      </c>
      <c r="BK24" s="50"/>
      <c r="BL24" s="50"/>
      <c r="BM24" s="50"/>
      <c r="BN24" s="50"/>
      <c r="BO24" s="50"/>
      <c r="BP24" s="50"/>
      <c r="CA24" s="29"/>
      <c r="CB24" s="63">
        <v>7</v>
      </c>
      <c r="CC24" s="63">
        <f>data!$D28</f>
        <v>21</v>
      </c>
      <c r="CD24" s="63">
        <f>data!$E28</f>
        <v>100</v>
      </c>
      <c r="CE24" s="70">
        <f t="shared" si="0"/>
        <v>366.66666666666669</v>
      </c>
      <c r="CF24" s="71">
        <f t="shared" si="1"/>
        <v>0.77936452462039529</v>
      </c>
      <c r="CG24" s="71">
        <f t="shared" si="2"/>
        <v>0.1174580984815812</v>
      </c>
      <c r="CH24" s="71">
        <f t="shared" si="3"/>
        <v>0</v>
      </c>
      <c r="CI24" s="71">
        <f t="shared" si="4"/>
        <v>1</v>
      </c>
      <c r="CJ24" s="72">
        <f t="shared" si="5"/>
        <v>6550</v>
      </c>
      <c r="CK24" s="72">
        <f t="shared" si="6"/>
        <v>3121.6805942432679</v>
      </c>
      <c r="CL24" s="72">
        <f t="shared" si="7"/>
        <v>3121.6805942432679</v>
      </c>
      <c r="CM24" s="70">
        <f t="shared" si="8"/>
        <v>36666.666666666672</v>
      </c>
      <c r="CN24" s="72">
        <f t="shared" si="9"/>
        <v>1240</v>
      </c>
      <c r="CO24" s="72">
        <f t="shared" si="10"/>
        <v>507.23559445660112</v>
      </c>
      <c r="CP24" s="72">
        <f t="shared" si="11"/>
        <v>507.23559445660112</v>
      </c>
      <c r="CQ24" s="45">
        <f t="shared" si="12"/>
        <v>5.282258064516129</v>
      </c>
      <c r="CR24" s="45">
        <f t="shared" si="13"/>
        <v>6.1543011341455802</v>
      </c>
      <c r="CS24" s="45">
        <f t="shared" si="14"/>
        <v>6.1543011341455802</v>
      </c>
      <c r="CT24" s="72">
        <f t="shared" si="15"/>
        <v>76.445522634053589</v>
      </c>
      <c r="CU24" s="72">
        <f t="shared" si="16"/>
        <v>0</v>
      </c>
      <c r="CV24" s="72">
        <f t="shared" si="17"/>
        <v>0</v>
      </c>
      <c r="CW24" s="72">
        <f t="shared" si="18"/>
        <v>0</v>
      </c>
      <c r="CX24" s="70">
        <f t="shared" si="19"/>
        <v>7644.5522634053586</v>
      </c>
    </row>
    <row r="25" spans="1:102"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2"/>
      <c r="BB25" s="32"/>
      <c r="BC25" s="33"/>
      <c r="BD25" s="33"/>
      <c r="BE25" s="35" t="s">
        <v>127</v>
      </c>
      <c r="BG25" s="35"/>
      <c r="BH25" s="35"/>
      <c r="CA25" s="29"/>
      <c r="CB25" s="63">
        <v>8</v>
      </c>
      <c r="CC25" s="63">
        <f>data!$D29</f>
        <v>22</v>
      </c>
      <c r="CD25" s="63">
        <f>data!$E29</f>
        <v>139</v>
      </c>
      <c r="CE25" s="70">
        <f t="shared" si="0"/>
        <v>733.33333333333337</v>
      </c>
      <c r="CF25" s="71">
        <f t="shared" si="1"/>
        <v>0.80937497650711554</v>
      </c>
      <c r="CG25" s="71">
        <f t="shared" si="2"/>
        <v>0.2374999060284621</v>
      </c>
      <c r="CH25" s="71">
        <f t="shared" si="3"/>
        <v>0</v>
      </c>
      <c r="CI25" s="71">
        <f t="shared" si="4"/>
        <v>1</v>
      </c>
      <c r="CJ25" s="72">
        <f t="shared" si="5"/>
        <v>6475</v>
      </c>
      <c r="CK25" s="72">
        <f t="shared" si="6"/>
        <v>3087.7205199628597</v>
      </c>
      <c r="CL25" s="72">
        <f t="shared" si="7"/>
        <v>3087.7205199628597</v>
      </c>
      <c r="CM25" s="70">
        <f t="shared" si="8"/>
        <v>101933.33333333334</v>
      </c>
      <c r="CN25" s="72">
        <f t="shared" si="9"/>
        <v>1260</v>
      </c>
      <c r="CO25" s="72">
        <f t="shared" si="10"/>
        <v>516.33114514952604</v>
      </c>
      <c r="CP25" s="72">
        <f t="shared" si="11"/>
        <v>516.33114514952604</v>
      </c>
      <c r="CQ25" s="45">
        <f t="shared" si="12"/>
        <v>5.1388888888888893</v>
      </c>
      <c r="CR25" s="45">
        <f t="shared" si="13"/>
        <v>5.9801167312281276</v>
      </c>
      <c r="CS25" s="45">
        <f t="shared" si="14"/>
        <v>5.9801167312281276</v>
      </c>
      <c r="CT25" s="72">
        <f t="shared" si="15"/>
        <v>151.5102418680998</v>
      </c>
      <c r="CU25" s="72">
        <f t="shared" si="16"/>
        <v>0</v>
      </c>
      <c r="CV25" s="72">
        <f t="shared" si="17"/>
        <v>0</v>
      </c>
      <c r="CW25" s="72">
        <f t="shared" si="18"/>
        <v>0</v>
      </c>
      <c r="CX25" s="70">
        <f t="shared" si="19"/>
        <v>21059.923619665871</v>
      </c>
    </row>
    <row r="26" spans="1:102" s="34" customFormat="1" ht="12" customHeight="1">
      <c r="A26" s="31"/>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5" t="s">
        <v>127</v>
      </c>
      <c r="BG26" s="35"/>
      <c r="BH26" s="35"/>
      <c r="CA26" s="29"/>
      <c r="CB26" s="63">
        <v>9</v>
      </c>
      <c r="CC26" s="63">
        <f>data!$D30</f>
        <v>23</v>
      </c>
      <c r="CD26" s="63">
        <f>data!$E30</f>
        <v>165</v>
      </c>
      <c r="CE26" s="70">
        <f t="shared" si="0"/>
        <v>1100</v>
      </c>
      <c r="CF26" s="71">
        <f t="shared" si="1"/>
        <v>0.84005290522667153</v>
      </c>
      <c r="CG26" s="71">
        <f t="shared" si="2"/>
        <v>0.36021162090668613</v>
      </c>
      <c r="CH26" s="71">
        <f t="shared" si="3"/>
        <v>0</v>
      </c>
      <c r="CI26" s="71">
        <f t="shared" si="4"/>
        <v>1</v>
      </c>
      <c r="CJ26" s="72">
        <f t="shared" si="5"/>
        <v>6400</v>
      </c>
      <c r="CK26" s="72">
        <f t="shared" si="6"/>
        <v>3053.7604456824511</v>
      </c>
      <c r="CL26" s="72">
        <f t="shared" si="7"/>
        <v>3053.7604456824511</v>
      </c>
      <c r="CM26" s="70">
        <f t="shared" si="8"/>
        <v>181500</v>
      </c>
      <c r="CN26" s="72">
        <f t="shared" si="9"/>
        <v>1280</v>
      </c>
      <c r="CO26" s="72">
        <f t="shared" si="10"/>
        <v>525.42669584245084</v>
      </c>
      <c r="CP26" s="72">
        <f t="shared" si="11"/>
        <v>525.42669584245084</v>
      </c>
      <c r="CQ26" s="45">
        <f t="shared" si="12"/>
        <v>5</v>
      </c>
      <c r="CR26" s="45">
        <f t="shared" si="13"/>
        <v>5.8119628672200561</v>
      </c>
      <c r="CS26" s="45">
        <f t="shared" si="14"/>
        <v>5.8119628672200561</v>
      </c>
      <c r="CT26" s="72">
        <f t="shared" si="15"/>
        <v>225.30105020705125</v>
      </c>
      <c r="CU26" s="72">
        <f t="shared" si="16"/>
        <v>0</v>
      </c>
      <c r="CV26" s="72">
        <f t="shared" si="17"/>
        <v>0</v>
      </c>
      <c r="CW26" s="72">
        <f t="shared" si="18"/>
        <v>0</v>
      </c>
      <c r="CX26" s="70">
        <f t="shared" si="19"/>
        <v>37174.673284163458</v>
      </c>
    </row>
    <row r="27" spans="1:102" s="34" customFormat="1" ht="12" customHeight="1">
      <c r="A27" s="31"/>
      <c r="B27" s="31"/>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2"/>
      <c r="BB27" s="32"/>
      <c r="BC27" s="33"/>
      <c r="BD27" s="33"/>
      <c r="BE27" s="35" t="s">
        <v>127</v>
      </c>
      <c r="CA27" s="29"/>
      <c r="CB27" s="63">
        <v>10</v>
      </c>
      <c r="CC27" s="63">
        <f>data!$D31</f>
        <v>24</v>
      </c>
      <c r="CD27" s="63">
        <f>data!$E31</f>
        <v>196</v>
      </c>
      <c r="CE27" s="70">
        <f t="shared" si="0"/>
        <v>1466.6666666666667</v>
      </c>
      <c r="CF27" s="71">
        <f t="shared" si="1"/>
        <v>0.8714208297141276</v>
      </c>
      <c r="CG27" s="71">
        <f t="shared" si="2"/>
        <v>0.48568331885651039</v>
      </c>
      <c r="CH27" s="71">
        <f t="shared" si="3"/>
        <v>0</v>
      </c>
      <c r="CI27" s="71">
        <f t="shared" si="4"/>
        <v>1</v>
      </c>
      <c r="CJ27" s="72">
        <f t="shared" si="5"/>
        <v>6325</v>
      </c>
      <c r="CK27" s="72">
        <f t="shared" si="6"/>
        <v>3019.8003714020424</v>
      </c>
      <c r="CL27" s="72">
        <f t="shared" si="7"/>
        <v>3019.8003714020424</v>
      </c>
      <c r="CM27" s="70">
        <f t="shared" si="8"/>
        <v>287466.66666666669</v>
      </c>
      <c r="CN27" s="72">
        <f t="shared" si="9"/>
        <v>1300</v>
      </c>
      <c r="CO27" s="72">
        <f t="shared" si="10"/>
        <v>534.52224653537564</v>
      </c>
      <c r="CP27" s="72">
        <f t="shared" si="11"/>
        <v>534.52224653537564</v>
      </c>
      <c r="CQ27" s="45">
        <f t="shared" si="12"/>
        <v>4.865384615384615</v>
      </c>
      <c r="CR27" s="45">
        <f t="shared" si="13"/>
        <v>5.6495316911046221</v>
      </c>
      <c r="CS27" s="45">
        <f t="shared" si="14"/>
        <v>5.6495316911046221</v>
      </c>
      <c r="CT27" s="72">
        <f t="shared" si="15"/>
        <v>297.91408450163459</v>
      </c>
      <c r="CU27" s="72">
        <f t="shared" si="16"/>
        <v>0</v>
      </c>
      <c r="CV27" s="72">
        <f t="shared" si="17"/>
        <v>0</v>
      </c>
      <c r="CW27" s="72">
        <f t="shared" si="18"/>
        <v>0</v>
      </c>
      <c r="CX27" s="70">
        <f t="shared" si="19"/>
        <v>58391.16056232038</v>
      </c>
    </row>
    <row r="28" spans="1:102"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2"/>
      <c r="AO28" s="31"/>
      <c r="AP28" s="31"/>
      <c r="AQ28" s="31"/>
      <c r="AR28" s="31"/>
      <c r="AS28" s="31"/>
      <c r="AT28" s="31"/>
      <c r="AU28" s="31"/>
      <c r="AV28" s="31"/>
      <c r="AW28" s="31"/>
      <c r="AX28" s="31"/>
      <c r="AY28" s="31"/>
      <c r="AZ28" s="31"/>
      <c r="BA28" s="32"/>
      <c r="BB28" s="32"/>
      <c r="BC28" s="33"/>
      <c r="BD28" s="33"/>
      <c r="BE28" s="35" t="s">
        <v>127</v>
      </c>
      <c r="CA28" s="29"/>
      <c r="CB28" s="63">
        <v>11</v>
      </c>
      <c r="CC28" s="63">
        <f>data!$D32</f>
        <v>25</v>
      </c>
      <c r="CD28" s="63">
        <f>data!$E32</f>
        <v>210</v>
      </c>
      <c r="CE28" s="70">
        <f t="shared" si="0"/>
        <v>1833.3333333333333</v>
      </c>
      <c r="CF28" s="71">
        <f t="shared" si="1"/>
        <v>0.90350229339967347</v>
      </c>
      <c r="CG28" s="71">
        <f t="shared" si="2"/>
        <v>0.61400917359869389</v>
      </c>
      <c r="CH28" s="71">
        <f t="shared" si="3"/>
        <v>0</v>
      </c>
      <c r="CI28" s="71">
        <f t="shared" si="4"/>
        <v>1</v>
      </c>
      <c r="CJ28" s="72">
        <f t="shared" si="5"/>
        <v>6250</v>
      </c>
      <c r="CK28" s="72">
        <f t="shared" si="6"/>
        <v>2985.8402971216342</v>
      </c>
      <c r="CL28" s="72">
        <f t="shared" si="7"/>
        <v>2985.8402971216342</v>
      </c>
      <c r="CM28" s="70">
        <f t="shared" si="8"/>
        <v>385000</v>
      </c>
      <c r="CN28" s="72">
        <f t="shared" si="9"/>
        <v>1320</v>
      </c>
      <c r="CO28" s="72">
        <f t="shared" si="10"/>
        <v>543.61779722830056</v>
      </c>
      <c r="CP28" s="72">
        <f t="shared" si="11"/>
        <v>543.61779722830056</v>
      </c>
      <c r="CQ28" s="45">
        <f t="shared" si="12"/>
        <v>4.7348484848484844</v>
      </c>
      <c r="CR28" s="45">
        <f t="shared" si="13"/>
        <v>5.4925359551237891</v>
      </c>
      <c r="CS28" s="45">
        <f t="shared" si="14"/>
        <v>5.4925359551237891</v>
      </c>
      <c r="CT28" s="72">
        <f t="shared" si="15"/>
        <v>369.43604556190917</v>
      </c>
      <c r="CU28" s="72">
        <f t="shared" si="16"/>
        <v>0</v>
      </c>
      <c r="CV28" s="72">
        <f t="shared" si="17"/>
        <v>0</v>
      </c>
      <c r="CW28" s="72">
        <f t="shared" si="18"/>
        <v>0</v>
      </c>
      <c r="CX28" s="70">
        <f t="shared" si="19"/>
        <v>77581.569568000923</v>
      </c>
    </row>
    <row r="29" spans="1:102" s="34" customFormat="1" ht="12" customHeight="1">
      <c r="A29" s="31"/>
      <c r="B29" s="31"/>
      <c r="C29" s="48" t="str">
        <f>'Variable Capacity unit'!$C$6</f>
        <v>　</v>
      </c>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2"/>
      <c r="AO29" s="31"/>
      <c r="AP29" s="31"/>
      <c r="AQ29" s="31"/>
      <c r="AR29" s="31"/>
      <c r="AS29" s="31"/>
      <c r="AT29" s="31"/>
      <c r="AU29" s="31"/>
      <c r="AV29" s="31"/>
      <c r="AW29" s="31"/>
      <c r="AX29" s="31"/>
      <c r="AY29" s="31"/>
      <c r="AZ29" s="31"/>
      <c r="BA29" s="32"/>
      <c r="BB29" s="32"/>
      <c r="BC29" s="33"/>
      <c r="BD29" s="33"/>
      <c r="BE29" s="35" t="s">
        <v>127</v>
      </c>
      <c r="CA29" s="29"/>
      <c r="CB29" s="63">
        <v>12</v>
      </c>
      <c r="CC29" s="63">
        <f>data!$D33</f>
        <v>26</v>
      </c>
      <c r="CD29" s="63">
        <f>data!$E33</f>
        <v>215</v>
      </c>
      <c r="CE29" s="70">
        <f t="shared" si="0"/>
        <v>2200</v>
      </c>
      <c r="CF29" s="71">
        <f t="shared" si="1"/>
        <v>0.93632192314043738</v>
      </c>
      <c r="CG29" s="71">
        <f t="shared" si="2"/>
        <v>0.74528769256174954</v>
      </c>
      <c r="CH29" s="71">
        <f t="shared" si="3"/>
        <v>0</v>
      </c>
      <c r="CI29" s="71">
        <f t="shared" si="4"/>
        <v>1</v>
      </c>
      <c r="CJ29" s="72">
        <f t="shared" si="5"/>
        <v>6175</v>
      </c>
      <c r="CK29" s="72">
        <f t="shared" si="6"/>
        <v>2951.8802228412255</v>
      </c>
      <c r="CL29" s="72">
        <f t="shared" si="7"/>
        <v>2951.8802228412255</v>
      </c>
      <c r="CM29" s="70">
        <f t="shared" si="8"/>
        <v>473000</v>
      </c>
      <c r="CN29" s="72">
        <f t="shared" si="9"/>
        <v>1340</v>
      </c>
      <c r="CO29" s="72">
        <f t="shared" si="10"/>
        <v>552.71334792122548</v>
      </c>
      <c r="CP29" s="72">
        <f t="shared" si="11"/>
        <v>552.71334792122548</v>
      </c>
      <c r="CQ29" s="45">
        <f t="shared" si="12"/>
        <v>4.6082089552238807</v>
      </c>
      <c r="CR29" s="45">
        <f t="shared" si="13"/>
        <v>5.3407073195234958</v>
      </c>
      <c r="CS29" s="45">
        <f t="shared" si="14"/>
        <v>5.3407073195234958</v>
      </c>
      <c r="CT29" s="72">
        <f t="shared" si="15"/>
        <v>439.94532813956641</v>
      </c>
      <c r="CU29" s="72">
        <f t="shared" si="16"/>
        <v>0</v>
      </c>
      <c r="CV29" s="72">
        <f t="shared" si="17"/>
        <v>0</v>
      </c>
      <c r="CW29" s="72">
        <f t="shared" si="18"/>
        <v>0</v>
      </c>
      <c r="CX29" s="70">
        <f t="shared" si="19"/>
        <v>94588.245550006774</v>
      </c>
    </row>
    <row r="30" spans="1:102" s="34" customFormat="1" ht="12" customHeight="1">
      <c r="A30" s="31"/>
      <c r="B30" s="31"/>
      <c r="C30" s="31"/>
      <c r="D30" s="31" t="str">
        <f>'Variable Capacity unit'!$D$31</f>
        <v>Standard Condition ( 46℃ ）</v>
      </c>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48" t="str">
        <f>'Variable Capacity unit'!$AI$31</f>
        <v>Select test item</v>
      </c>
      <c r="AJ30" s="31"/>
      <c r="AK30" s="31"/>
      <c r="AL30" s="31"/>
      <c r="AM30" s="31"/>
      <c r="AN30" s="31"/>
      <c r="AO30" s="31"/>
      <c r="AP30" s="31"/>
      <c r="AQ30" s="31"/>
      <c r="AR30" s="31"/>
      <c r="AS30" s="31"/>
      <c r="AT30" s="31"/>
      <c r="AU30" s="31"/>
      <c r="AV30" s="31"/>
      <c r="AW30" s="31"/>
      <c r="AX30" s="31"/>
      <c r="AY30" s="31"/>
      <c r="AZ30" s="31"/>
      <c r="BA30" s="32"/>
      <c r="BB30" s="32"/>
      <c r="BC30" s="33"/>
      <c r="BD30" s="33"/>
      <c r="BE30" s="35" t="s">
        <v>127</v>
      </c>
      <c r="CA30" s="29"/>
      <c r="CB30" s="63">
        <v>13</v>
      </c>
      <c r="CC30" s="63">
        <f>data!$D34</f>
        <v>27</v>
      </c>
      <c r="CD30" s="63">
        <f>data!$E34</f>
        <v>210</v>
      </c>
      <c r="CE30" s="70">
        <f t="shared" si="0"/>
        <v>2566.6666666666665</v>
      </c>
      <c r="CF30" s="71">
        <f t="shared" si="1"/>
        <v>0.96990549226754919</v>
      </c>
      <c r="CG30" s="71">
        <f t="shared" si="2"/>
        <v>0.87962196907019663</v>
      </c>
      <c r="CH30" s="71">
        <f t="shared" si="3"/>
        <v>0</v>
      </c>
      <c r="CI30" s="71">
        <f t="shared" si="4"/>
        <v>1</v>
      </c>
      <c r="CJ30" s="72">
        <f t="shared" si="5"/>
        <v>6100</v>
      </c>
      <c r="CK30" s="72">
        <f t="shared" si="6"/>
        <v>2917.9201485608169</v>
      </c>
      <c r="CL30" s="72">
        <f t="shared" si="7"/>
        <v>2917.9201485608169</v>
      </c>
      <c r="CM30" s="70">
        <f t="shared" si="8"/>
        <v>539000</v>
      </c>
      <c r="CN30" s="72">
        <f t="shared" si="9"/>
        <v>1360</v>
      </c>
      <c r="CO30" s="72">
        <f t="shared" si="10"/>
        <v>561.80889861415028</v>
      </c>
      <c r="CP30" s="72">
        <f t="shared" si="11"/>
        <v>561.80889861415028</v>
      </c>
      <c r="CQ30" s="45">
        <f t="shared" si="12"/>
        <v>4.4852941176470589</v>
      </c>
      <c r="CR30" s="45">
        <f t="shared" si="13"/>
        <v>5.1937948219735146</v>
      </c>
      <c r="CS30" s="45">
        <f t="shared" si="14"/>
        <v>5.1937948219735146</v>
      </c>
      <c r="CT30" s="72">
        <f t="shared" si="15"/>
        <v>509.51299232752206</v>
      </c>
      <c r="CU30" s="72">
        <f t="shared" si="16"/>
        <v>0</v>
      </c>
      <c r="CV30" s="72">
        <f t="shared" si="17"/>
        <v>0</v>
      </c>
      <c r="CW30" s="72">
        <f t="shared" si="18"/>
        <v>0</v>
      </c>
      <c r="CX30" s="70">
        <f t="shared" si="19"/>
        <v>106997.72838877964</v>
      </c>
    </row>
    <row r="31" spans="1:102" s="34" customFormat="1" ht="12" customHeight="1">
      <c r="A31" s="31"/>
      <c r="B31" s="31"/>
      <c r="C31" s="31"/>
      <c r="D31" s="31"/>
      <c r="E31" s="31"/>
      <c r="F31" s="31"/>
      <c r="G31" s="31"/>
      <c r="H31" s="154" t="str">
        <f>'Variable Capacity unit'!$H$8</f>
        <v>Capacity [W]</v>
      </c>
      <c r="I31" s="154"/>
      <c r="J31" s="154"/>
      <c r="K31" s="154"/>
      <c r="L31" s="154" t="str">
        <f>'Variable Capacity unit'!$L$8</f>
        <v>Power [W]</v>
      </c>
      <c r="M31" s="154"/>
      <c r="N31" s="154"/>
      <c r="O31" s="154"/>
      <c r="P31" s="103" t="str">
        <f>'Variable Capacity unit'!$P$8</f>
        <v>EER</v>
      </c>
      <c r="Q31" s="104"/>
      <c r="R31" s="31"/>
      <c r="S31" s="31"/>
      <c r="T31" s="31"/>
      <c r="U31" s="31"/>
      <c r="V31" s="31"/>
      <c r="W31" s="31"/>
      <c r="X31" s="31"/>
      <c r="Y31" s="31"/>
      <c r="Z31" s="31"/>
      <c r="AA31" s="31"/>
      <c r="AB31" s="31"/>
      <c r="AC31" s="31"/>
      <c r="AD31" s="31"/>
      <c r="AE31" s="31"/>
      <c r="AF31" s="31"/>
      <c r="AG31" s="31"/>
      <c r="AH31" s="31"/>
      <c r="AI31" s="31"/>
      <c r="AJ31" s="31"/>
      <c r="AK31" s="108" t="str">
        <f>'Variable Capacity unit'!$AK$32</f>
        <v>Test</v>
      </c>
      <c r="AL31" s="108"/>
      <c r="AM31" s="108"/>
      <c r="AN31" s="108"/>
      <c r="AO31" s="108"/>
      <c r="AP31" s="129"/>
      <c r="AQ31" s="54"/>
      <c r="AR31" s="55" t="str">
        <f>'Variable Capacity unit'!$AR$32</f>
        <v>Required test only</v>
      </c>
      <c r="AS31" s="55"/>
      <c r="AT31" s="55"/>
      <c r="AU31" s="55"/>
      <c r="AV31" s="56"/>
      <c r="AW31" s="57"/>
      <c r="AX31" s="58" t="str">
        <f>'Variable Capacity unit'!$AX$32</f>
        <v>With Optional test</v>
      </c>
      <c r="AY31" s="58"/>
      <c r="AZ31" s="58"/>
      <c r="BA31" s="58"/>
      <c r="BB31" s="59"/>
      <c r="BC31" s="81">
        <v>1</v>
      </c>
      <c r="BD31" s="33" t="str">
        <f>IF($BC$31=2,"Optional test","Required test")</f>
        <v>Required test</v>
      </c>
      <c r="BE31" s="35" t="s">
        <v>127</v>
      </c>
      <c r="BK31" s="50"/>
      <c r="BL31" s="50"/>
      <c r="BM31" s="50"/>
      <c r="BN31" s="50"/>
      <c r="BO31" s="50"/>
      <c r="BP31" s="50"/>
      <c r="CA31" s="29"/>
      <c r="CB31" s="63">
        <v>14</v>
      </c>
      <c r="CC31" s="63">
        <f>data!$D35</f>
        <v>28</v>
      </c>
      <c r="CD31" s="63">
        <f>data!$E35</f>
        <v>181</v>
      </c>
      <c r="CE31" s="70">
        <f t="shared" si="0"/>
        <v>2933.3333333333335</v>
      </c>
      <c r="CF31" s="71">
        <f t="shared" si="1"/>
        <v>1</v>
      </c>
      <c r="CG31" s="71">
        <f t="shared" si="2"/>
        <v>1</v>
      </c>
      <c r="CH31" s="71">
        <f t="shared" si="3"/>
        <v>0</v>
      </c>
      <c r="CI31" s="71">
        <f t="shared" si="4"/>
        <v>0.9842812379910727</v>
      </c>
      <c r="CJ31" s="72">
        <f t="shared" si="5"/>
        <v>6025</v>
      </c>
      <c r="CK31" s="72">
        <f t="shared" si="6"/>
        <v>2883.9600742804087</v>
      </c>
      <c r="CL31" s="72">
        <f t="shared" si="7"/>
        <v>2883.9600742804087</v>
      </c>
      <c r="CM31" s="70">
        <f t="shared" si="8"/>
        <v>530933.33333333337</v>
      </c>
      <c r="CN31" s="72">
        <f t="shared" si="9"/>
        <v>1380</v>
      </c>
      <c r="CO31" s="72">
        <f t="shared" si="10"/>
        <v>570.90444930707508</v>
      </c>
      <c r="CP31" s="72">
        <f t="shared" si="11"/>
        <v>570.90444930707508</v>
      </c>
      <c r="CQ31" s="45">
        <f t="shared" si="12"/>
        <v>4.3659420289855069</v>
      </c>
      <c r="CR31" s="45">
        <f t="shared" si="13"/>
        <v>5.0515634932969302</v>
      </c>
      <c r="CS31" s="45">
        <f t="shared" si="14"/>
        <v>5.0515634932969302</v>
      </c>
      <c r="CT31" s="72">
        <f t="shared" si="15"/>
        <v>0</v>
      </c>
      <c r="CU31" s="72">
        <f t="shared" si="16"/>
        <v>0</v>
      </c>
      <c r="CV31" s="72">
        <f t="shared" si="17"/>
        <v>583.62242971089915</v>
      </c>
      <c r="CW31" s="72">
        <f t="shared" si="18"/>
        <v>0</v>
      </c>
      <c r="CX31" s="70">
        <f t="shared" si="19"/>
        <v>105635.65977767274</v>
      </c>
    </row>
    <row r="32" spans="1:102" s="34" customFormat="1" ht="12" customHeight="1">
      <c r="A32" s="31"/>
      <c r="B32" s="31"/>
      <c r="C32" s="31"/>
      <c r="D32" s="123" t="str">
        <f>'Variable Capacity unit'!$D$33</f>
        <v>Full</v>
      </c>
      <c r="E32" s="124"/>
      <c r="F32" s="124"/>
      <c r="G32" s="125"/>
      <c r="H32" s="134">
        <v>4800</v>
      </c>
      <c r="I32" s="134"/>
      <c r="J32" s="134"/>
      <c r="K32" s="134"/>
      <c r="L32" s="134">
        <v>1850</v>
      </c>
      <c r="M32" s="134"/>
      <c r="N32" s="134"/>
      <c r="O32" s="134"/>
      <c r="P32" s="111">
        <f>$H$32/$L$32</f>
        <v>2.5945945945945947</v>
      </c>
      <c r="Q32" s="111"/>
      <c r="R32" s="31"/>
      <c r="S32" s="31"/>
      <c r="T32" s="31"/>
      <c r="U32" s="31"/>
      <c r="V32" s="31"/>
      <c r="W32" s="31"/>
      <c r="X32" s="31"/>
      <c r="Y32" s="31"/>
      <c r="Z32" s="31"/>
      <c r="AA32" s="31"/>
      <c r="AB32" s="31"/>
      <c r="AC32" s="31"/>
      <c r="AD32" s="31"/>
      <c r="AE32" s="31"/>
      <c r="AF32" s="31"/>
      <c r="AG32" s="31"/>
      <c r="AH32" s="31"/>
      <c r="AI32" s="31" t="str">
        <f>'Variable Capacity unit'!$AI$33</f>
        <v>Measurement point</v>
      </c>
      <c r="AJ32" s="31"/>
      <c r="AK32" s="31"/>
      <c r="AL32" s="31"/>
      <c r="AM32" s="31"/>
      <c r="AN32" s="31"/>
      <c r="AO32" s="31"/>
      <c r="AP32" s="31"/>
      <c r="AQ32" s="32"/>
      <c r="AR32" s="32"/>
      <c r="AS32" s="32"/>
      <c r="AT32" s="32"/>
      <c r="AU32" s="32"/>
      <c r="AV32" s="32"/>
      <c r="AW32" s="32"/>
      <c r="AX32" s="32"/>
      <c r="AY32" s="32"/>
      <c r="AZ32" s="32"/>
      <c r="BA32" s="32"/>
      <c r="BB32" s="32"/>
      <c r="BC32" s="33"/>
      <c r="BD32" s="33"/>
      <c r="BE32" s="35" t="s">
        <v>127</v>
      </c>
      <c r="BK32" s="50"/>
      <c r="BL32" s="50"/>
      <c r="BM32" s="50"/>
      <c r="BN32" s="50"/>
      <c r="BO32" s="50"/>
      <c r="BP32" s="50"/>
      <c r="CA32" s="29"/>
      <c r="CB32" s="63">
        <v>15</v>
      </c>
      <c r="CC32" s="63">
        <f>data!$D36</f>
        <v>29</v>
      </c>
      <c r="CD32" s="63">
        <f>data!$E36</f>
        <v>150</v>
      </c>
      <c r="CE32" s="70">
        <f t="shared" si="0"/>
        <v>3300</v>
      </c>
      <c r="CF32" s="71">
        <f t="shared" si="1"/>
        <v>1</v>
      </c>
      <c r="CG32" s="71">
        <f t="shared" si="2"/>
        <v>1</v>
      </c>
      <c r="CH32" s="71">
        <f t="shared" si="3"/>
        <v>0</v>
      </c>
      <c r="CI32" s="71">
        <f t="shared" si="4"/>
        <v>0.85483870967741937</v>
      </c>
      <c r="CJ32" s="72">
        <f t="shared" si="5"/>
        <v>5950</v>
      </c>
      <c r="CK32" s="72">
        <f t="shared" si="6"/>
        <v>2850</v>
      </c>
      <c r="CL32" s="72">
        <f t="shared" si="7"/>
        <v>2850</v>
      </c>
      <c r="CM32" s="70">
        <f t="shared" si="8"/>
        <v>495000</v>
      </c>
      <c r="CN32" s="72">
        <f t="shared" si="9"/>
        <v>1400</v>
      </c>
      <c r="CO32" s="72">
        <f t="shared" si="10"/>
        <v>580</v>
      </c>
      <c r="CP32" s="72">
        <f t="shared" si="11"/>
        <v>580</v>
      </c>
      <c r="CQ32" s="45">
        <f t="shared" si="12"/>
        <v>4.25</v>
      </c>
      <c r="CR32" s="45">
        <f t="shared" si="13"/>
        <v>4.9137931034482758</v>
      </c>
      <c r="CS32" s="45">
        <f t="shared" si="14"/>
        <v>4.9137931034482758</v>
      </c>
      <c r="CT32" s="72">
        <f t="shared" si="15"/>
        <v>0</v>
      </c>
      <c r="CU32" s="72">
        <f t="shared" si="16"/>
        <v>0</v>
      </c>
      <c r="CV32" s="72">
        <f t="shared" si="17"/>
        <v>699.0322580645161</v>
      </c>
      <c r="CW32" s="72">
        <f t="shared" si="18"/>
        <v>0</v>
      </c>
      <c r="CX32" s="70">
        <f t="shared" si="19"/>
        <v>104854.83870967741</v>
      </c>
    </row>
    <row r="33" spans="1:102" s="34" customFormat="1" ht="12" customHeight="1">
      <c r="A33" s="31"/>
      <c r="B33" s="31"/>
      <c r="C33" s="31"/>
      <c r="D33" s="123" t="str">
        <f>'Variable Capacity unit'!$D$34</f>
        <v>Half</v>
      </c>
      <c r="E33" s="124"/>
      <c r="F33" s="124"/>
      <c r="G33" s="125"/>
      <c r="H33" s="127">
        <v>2300</v>
      </c>
      <c r="I33" s="127"/>
      <c r="J33" s="127"/>
      <c r="K33" s="127"/>
      <c r="L33" s="127">
        <v>700</v>
      </c>
      <c r="M33" s="127"/>
      <c r="N33" s="127"/>
      <c r="O33" s="127"/>
      <c r="P33" s="111">
        <f>$H$33/$L$33</f>
        <v>3.2857142857142856</v>
      </c>
      <c r="Q33" s="111"/>
      <c r="R33" s="31"/>
      <c r="S33" s="31"/>
      <c r="T33" s="31"/>
      <c r="U33" s="31"/>
      <c r="V33" s="31"/>
      <c r="W33" s="31"/>
      <c r="X33" s="31"/>
      <c r="Y33" s="31"/>
      <c r="Z33" s="31"/>
      <c r="AA33" s="31"/>
      <c r="AB33" s="31"/>
      <c r="AC33" s="31"/>
      <c r="AD33" s="31"/>
      <c r="AE33" s="31"/>
      <c r="AF33" s="31"/>
      <c r="AG33" s="31"/>
      <c r="AH33" s="31"/>
      <c r="AI33" s="31"/>
      <c r="AJ33" s="31"/>
      <c r="AK33" s="108" t="str">
        <f>'Variable Capacity unit'!$AK$34</f>
        <v>Full Performance</v>
      </c>
      <c r="AL33" s="108"/>
      <c r="AM33" s="108"/>
      <c r="AN33" s="108"/>
      <c r="AO33" s="108"/>
      <c r="AP33" s="129"/>
      <c r="AQ33" s="105" t="s">
        <v>44</v>
      </c>
      <c r="AR33" s="105"/>
      <c r="AS33" s="105"/>
      <c r="AT33" s="105"/>
      <c r="AU33" s="105"/>
      <c r="AV33" s="105"/>
      <c r="AW33" s="105"/>
      <c r="AX33" s="105"/>
      <c r="AY33" s="105"/>
      <c r="AZ33" s="105"/>
      <c r="BA33" s="105"/>
      <c r="BB33" s="105"/>
      <c r="BC33" s="33"/>
      <c r="BD33" s="33"/>
      <c r="BE33" s="35" t="s">
        <v>127</v>
      </c>
      <c r="BK33" s="50"/>
      <c r="BL33" s="50"/>
      <c r="BM33" s="50"/>
      <c r="BN33" s="50"/>
      <c r="BO33" s="50"/>
      <c r="BP33" s="50"/>
      <c r="CA33" s="29"/>
      <c r="CB33" s="63">
        <v>16</v>
      </c>
      <c r="CC33" s="63">
        <f>data!$D37</f>
        <v>30</v>
      </c>
      <c r="CD33" s="63">
        <f>data!$E37</f>
        <v>120</v>
      </c>
      <c r="CE33" s="70">
        <f t="shared" si="0"/>
        <v>3666.6666666666665</v>
      </c>
      <c r="CF33" s="71">
        <f t="shared" si="1"/>
        <v>1</v>
      </c>
      <c r="CG33" s="71">
        <f t="shared" si="2"/>
        <v>1</v>
      </c>
      <c r="CH33" s="71">
        <f t="shared" si="3"/>
        <v>0</v>
      </c>
      <c r="CI33" s="71">
        <f t="shared" si="4"/>
        <v>0.72192290180604035</v>
      </c>
      <c r="CJ33" s="72">
        <f t="shared" si="5"/>
        <v>5875</v>
      </c>
      <c r="CK33" s="72">
        <f t="shared" si="6"/>
        <v>2816.0399257195913</v>
      </c>
      <c r="CL33" s="72">
        <f t="shared" si="7"/>
        <v>2816.0399257195913</v>
      </c>
      <c r="CM33" s="70">
        <f t="shared" si="8"/>
        <v>440000</v>
      </c>
      <c r="CN33" s="72">
        <f t="shared" si="9"/>
        <v>1420</v>
      </c>
      <c r="CO33" s="72">
        <f t="shared" si="10"/>
        <v>589.09555069292492</v>
      </c>
      <c r="CP33" s="72">
        <f t="shared" si="11"/>
        <v>589.09555069292492</v>
      </c>
      <c r="CQ33" s="45">
        <f t="shared" si="12"/>
        <v>4.137323943661972</v>
      </c>
      <c r="CR33" s="45">
        <f t="shared" si="13"/>
        <v>4.78027702366317</v>
      </c>
      <c r="CS33" s="45">
        <f t="shared" si="14"/>
        <v>4.78027702366317</v>
      </c>
      <c r="CT33" s="72">
        <f t="shared" si="15"/>
        <v>0</v>
      </c>
      <c r="CU33" s="72">
        <f t="shared" si="16"/>
        <v>0</v>
      </c>
      <c r="CV33" s="72">
        <f t="shared" si="17"/>
        <v>820.15104883268646</v>
      </c>
      <c r="CW33" s="72">
        <f t="shared" si="18"/>
        <v>0</v>
      </c>
      <c r="CX33" s="70">
        <f t="shared" si="19"/>
        <v>98418.12585992238</v>
      </c>
    </row>
    <row r="34" spans="1:102" s="34" customFormat="1" ht="12" customHeight="1">
      <c r="A34" s="31"/>
      <c r="B34" s="31"/>
      <c r="C34" s="31"/>
      <c r="D34" s="123" t="str">
        <f>'Variable Capacity unit'!$D$35</f>
        <v>Minimum</v>
      </c>
      <c r="E34" s="124"/>
      <c r="F34" s="124"/>
      <c r="G34" s="125"/>
      <c r="H34" s="127">
        <v>1300</v>
      </c>
      <c r="I34" s="127"/>
      <c r="J34" s="127"/>
      <c r="K34" s="127"/>
      <c r="L34" s="127">
        <v>420</v>
      </c>
      <c r="M34" s="127"/>
      <c r="N34" s="127"/>
      <c r="O34" s="127"/>
      <c r="P34" s="111">
        <f>$H$34/$L$34</f>
        <v>3.0952380952380953</v>
      </c>
      <c r="Q34" s="111"/>
      <c r="R34" s="31"/>
      <c r="S34" s="31"/>
      <c r="T34" s="31"/>
      <c r="U34" s="31"/>
      <c r="V34" s="31"/>
      <c r="W34" s="31"/>
      <c r="X34" s="31"/>
      <c r="Y34" s="31"/>
      <c r="Z34" s="31"/>
      <c r="AA34" s="31"/>
      <c r="AB34" s="31"/>
      <c r="AC34" s="31"/>
      <c r="AD34" s="31"/>
      <c r="AE34" s="31"/>
      <c r="AF34" s="31"/>
      <c r="AG34" s="31"/>
      <c r="AH34" s="31"/>
      <c r="AI34" s="31"/>
      <c r="AJ34" s="31"/>
      <c r="AK34" s="108" t="str">
        <f>'Variable Capacity unit'!$AK$35</f>
        <v>Half Performance</v>
      </c>
      <c r="AL34" s="108"/>
      <c r="AM34" s="108"/>
      <c r="AN34" s="108"/>
      <c r="AO34" s="108"/>
      <c r="AP34" s="129"/>
      <c r="AQ34" s="105" t="s">
        <v>44</v>
      </c>
      <c r="AR34" s="105"/>
      <c r="AS34" s="105"/>
      <c r="AT34" s="105"/>
      <c r="AU34" s="105"/>
      <c r="AV34" s="105"/>
      <c r="AW34" s="105"/>
      <c r="AX34" s="105"/>
      <c r="AY34" s="105"/>
      <c r="AZ34" s="105"/>
      <c r="BA34" s="105"/>
      <c r="BB34" s="105"/>
      <c r="BC34" s="33"/>
      <c r="BD34" s="33"/>
      <c r="BE34" s="35" t="s">
        <v>127</v>
      </c>
      <c r="BK34" s="50"/>
      <c r="BL34" s="50"/>
      <c r="BM34" s="50"/>
      <c r="BN34" s="50"/>
      <c r="BO34" s="50"/>
      <c r="BP34" s="50"/>
      <c r="CA34" s="29"/>
      <c r="CB34" s="63">
        <v>17</v>
      </c>
      <c r="CC34" s="63">
        <f>data!$D38</f>
        <v>31</v>
      </c>
      <c r="CD34" s="63">
        <f>data!$E38</f>
        <v>75</v>
      </c>
      <c r="CE34" s="70">
        <f t="shared" si="0"/>
        <v>4033.3333333333335</v>
      </c>
      <c r="CF34" s="71">
        <f t="shared" si="1"/>
        <v>1</v>
      </c>
      <c r="CG34" s="71">
        <f t="shared" si="2"/>
        <v>1</v>
      </c>
      <c r="CH34" s="71">
        <f t="shared" si="3"/>
        <v>0</v>
      </c>
      <c r="CI34" s="71">
        <f t="shared" si="4"/>
        <v>0.58539211765067845</v>
      </c>
      <c r="CJ34" s="72">
        <f t="shared" si="5"/>
        <v>5800</v>
      </c>
      <c r="CK34" s="72">
        <f t="shared" si="6"/>
        <v>2782.0798514391831</v>
      </c>
      <c r="CL34" s="72">
        <f t="shared" si="7"/>
        <v>2782.0798514391831</v>
      </c>
      <c r="CM34" s="70">
        <f t="shared" si="8"/>
        <v>302500</v>
      </c>
      <c r="CN34" s="72">
        <f t="shared" si="9"/>
        <v>1440</v>
      </c>
      <c r="CO34" s="72">
        <f t="shared" si="10"/>
        <v>598.19110138584972</v>
      </c>
      <c r="CP34" s="72">
        <f t="shared" si="11"/>
        <v>598.19110138584972</v>
      </c>
      <c r="CQ34" s="45">
        <f t="shared" si="12"/>
        <v>4.0277777777777777</v>
      </c>
      <c r="CR34" s="45">
        <f t="shared" si="13"/>
        <v>4.6508211924146714</v>
      </c>
      <c r="CS34" s="45">
        <f t="shared" si="14"/>
        <v>4.6508211924146714</v>
      </c>
      <c r="CT34" s="72">
        <f t="shared" si="15"/>
        <v>0</v>
      </c>
      <c r="CU34" s="72">
        <f t="shared" si="16"/>
        <v>0</v>
      </c>
      <c r="CV34" s="72">
        <f t="shared" si="17"/>
        <v>947.21170618307724</v>
      </c>
      <c r="CW34" s="72">
        <f t="shared" si="18"/>
        <v>0</v>
      </c>
      <c r="CX34" s="70">
        <f t="shared" si="19"/>
        <v>71040.877963730789</v>
      </c>
    </row>
    <row r="35" spans="1:102" ht="12" customHeight="1">
      <c r="A35" s="31"/>
      <c r="B35" s="31"/>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1"/>
      <c r="AD35" s="31"/>
      <c r="AE35" s="31"/>
      <c r="AF35" s="31"/>
      <c r="AG35" s="31"/>
      <c r="AH35" s="31"/>
      <c r="AI35" s="31"/>
      <c r="AJ35" s="31"/>
      <c r="AK35" s="108" t="str">
        <f>'Variable Capacity unit'!$AK$36</f>
        <v>Min Performance</v>
      </c>
      <c r="AL35" s="108"/>
      <c r="AM35" s="108"/>
      <c r="AN35" s="108"/>
      <c r="AO35" s="108"/>
      <c r="AP35" s="129"/>
      <c r="AQ35" s="57"/>
      <c r="AR35" s="101" t="str">
        <f>'Variable Capacity unit'!$AR$36</f>
        <v>Not Measure</v>
      </c>
      <c r="AS35" s="101"/>
      <c r="AT35" s="101"/>
      <c r="AU35" s="101"/>
      <c r="AV35" s="102"/>
      <c r="AW35" s="57"/>
      <c r="AX35" s="101" t="str">
        <f>'Variable Capacity unit'!$AX$36</f>
        <v>Measure</v>
      </c>
      <c r="AY35" s="101"/>
      <c r="AZ35" s="101"/>
      <c r="BA35" s="101"/>
      <c r="BB35" s="102"/>
      <c r="BC35" s="81">
        <v>1</v>
      </c>
      <c r="BD35" s="33" t="str">
        <f>IF($BC$31=2,IF($BC$35=2,"Measure","Not Measure"),"Not Measure")</f>
        <v>Not Measure</v>
      </c>
      <c r="BE35" s="35" t="s">
        <v>127</v>
      </c>
      <c r="BK35" s="50"/>
      <c r="BL35" s="50"/>
      <c r="BM35" s="50"/>
      <c r="BN35" s="50"/>
      <c r="BO35" s="50"/>
      <c r="BP35" s="50"/>
      <c r="CB35" s="63">
        <v>18</v>
      </c>
      <c r="CC35" s="63">
        <f>data!$D39</f>
        <v>32</v>
      </c>
      <c r="CD35" s="63">
        <f>data!$E39</f>
        <v>35</v>
      </c>
      <c r="CE35" s="70">
        <f t="shared" si="0"/>
        <v>4400</v>
      </c>
      <c r="CF35" s="71">
        <f t="shared" si="1"/>
        <v>1</v>
      </c>
      <c r="CG35" s="71">
        <f t="shared" si="2"/>
        <v>1</v>
      </c>
      <c r="CH35" s="71">
        <f t="shared" si="3"/>
        <v>0</v>
      </c>
      <c r="CI35" s="71">
        <f t="shared" si="4"/>
        <v>0.44509684663609994</v>
      </c>
      <c r="CJ35" s="72">
        <f t="shared" si="5"/>
        <v>5725</v>
      </c>
      <c r="CK35" s="72">
        <f t="shared" si="6"/>
        <v>2748.1197771587745</v>
      </c>
      <c r="CL35" s="72">
        <f t="shared" si="7"/>
        <v>2748.1197771587745</v>
      </c>
      <c r="CM35" s="70">
        <f t="shared" si="8"/>
        <v>154000</v>
      </c>
      <c r="CN35" s="72">
        <f t="shared" si="9"/>
        <v>1460</v>
      </c>
      <c r="CO35" s="72">
        <f t="shared" si="10"/>
        <v>607.28665207877452</v>
      </c>
      <c r="CP35" s="72">
        <f t="shared" si="11"/>
        <v>607.28665207877452</v>
      </c>
      <c r="CQ35" s="45">
        <f t="shared" si="12"/>
        <v>3.9212328767123288</v>
      </c>
      <c r="CR35" s="45">
        <f t="shared" si="13"/>
        <v>4.5252431742930863</v>
      </c>
      <c r="CS35" s="45">
        <f t="shared" si="14"/>
        <v>4.5252431742930863</v>
      </c>
      <c r="CT35" s="72">
        <f t="shared" si="15"/>
        <v>0</v>
      </c>
      <c r="CU35" s="72">
        <f t="shared" si="16"/>
        <v>0</v>
      </c>
      <c r="CV35" s="72">
        <f t="shared" si="17"/>
        <v>1080.459977755751</v>
      </c>
      <c r="CW35" s="72">
        <f t="shared" si="18"/>
        <v>0</v>
      </c>
      <c r="CX35" s="70">
        <f t="shared" si="19"/>
        <v>37816.099221451281</v>
      </c>
    </row>
    <row r="36" spans="1:102" ht="12" customHeight="1">
      <c r="A36" s="31"/>
      <c r="B36" s="31"/>
      <c r="C36" s="31"/>
      <c r="D36" s="31" t="str">
        <f>'Variable Capacity unit'!$D$37</f>
        <v>Medium Condition ( 35℃ ）</v>
      </c>
      <c r="E36" s="31"/>
      <c r="F36" s="31"/>
      <c r="G36" s="31"/>
      <c r="H36" s="31"/>
      <c r="I36" s="31"/>
      <c r="J36" s="31"/>
      <c r="K36" s="31"/>
      <c r="L36" s="31"/>
      <c r="M36" s="31"/>
      <c r="N36" s="31"/>
      <c r="O36" s="31"/>
      <c r="P36" s="31"/>
      <c r="Q36" s="31"/>
      <c r="R36" s="31"/>
      <c r="S36" s="31"/>
      <c r="T36" s="31"/>
      <c r="U36" s="31"/>
      <c r="V36" s="31"/>
      <c r="W36" s="31"/>
      <c r="X36" s="31"/>
      <c r="Y36" s="108" t="str">
        <f>data!$I$7</f>
        <v>International</v>
      </c>
      <c r="Z36" s="108"/>
      <c r="AA36" s="108"/>
      <c r="AB36" s="108"/>
      <c r="AC36" s="108" t="str">
        <f>data!$K$7</f>
        <v>CUSTOM</v>
      </c>
      <c r="AD36" s="108"/>
      <c r="AE36" s="108"/>
      <c r="AF36" s="108"/>
      <c r="AG36" s="31"/>
      <c r="AH36" s="31"/>
      <c r="AI36" s="31"/>
      <c r="AJ36" s="31"/>
      <c r="AK36" s="31"/>
      <c r="AL36" s="31"/>
      <c r="AM36" s="31"/>
      <c r="AN36" s="31"/>
      <c r="AO36" s="31"/>
      <c r="AP36" s="31"/>
      <c r="AQ36" s="76"/>
      <c r="AR36" s="76"/>
      <c r="AS36" s="76"/>
      <c r="AT36" s="76"/>
      <c r="AU36" s="76"/>
      <c r="AV36" s="76"/>
      <c r="AW36" s="76"/>
      <c r="AX36" s="76"/>
      <c r="AY36" s="76"/>
      <c r="AZ36" s="87"/>
      <c r="BA36" s="87"/>
      <c r="BB36" s="76"/>
      <c r="BC36" s="33"/>
      <c r="BD36" s="33"/>
      <c r="BE36" s="35" t="s">
        <v>127</v>
      </c>
      <c r="BK36" s="50"/>
      <c r="BL36" s="50"/>
      <c r="BM36" s="50"/>
      <c r="BN36" s="50"/>
      <c r="BO36" s="50"/>
      <c r="BP36" s="50"/>
      <c r="CB36" s="63">
        <v>19</v>
      </c>
      <c r="CC36" s="63">
        <f>data!$D40</f>
        <v>33</v>
      </c>
      <c r="CD36" s="63">
        <f>data!$E40</f>
        <v>11</v>
      </c>
      <c r="CE36" s="70">
        <f t="shared" si="0"/>
        <v>4766.666666666667</v>
      </c>
      <c r="CF36" s="71">
        <f t="shared" si="1"/>
        <v>1</v>
      </c>
      <c r="CG36" s="71">
        <f t="shared" si="2"/>
        <v>1</v>
      </c>
      <c r="CH36" s="71">
        <f t="shared" si="3"/>
        <v>0</v>
      </c>
      <c r="CI36" s="71">
        <f t="shared" si="4"/>
        <v>0.30087921819159358</v>
      </c>
      <c r="CJ36" s="72">
        <f t="shared" si="5"/>
        <v>5650</v>
      </c>
      <c r="CK36" s="72">
        <f t="shared" si="6"/>
        <v>2714.1597028783658</v>
      </c>
      <c r="CL36" s="72">
        <f t="shared" si="7"/>
        <v>2714.1597028783658</v>
      </c>
      <c r="CM36" s="70">
        <f t="shared" si="8"/>
        <v>52433.333333333336</v>
      </c>
      <c r="CN36" s="72">
        <f t="shared" si="9"/>
        <v>1480</v>
      </c>
      <c r="CO36" s="72">
        <f t="shared" si="10"/>
        <v>616.38220277169944</v>
      </c>
      <c r="CP36" s="72">
        <f t="shared" si="11"/>
        <v>616.38220277169944</v>
      </c>
      <c r="CQ36" s="45">
        <f t="shared" si="12"/>
        <v>3.8175675675675675</v>
      </c>
      <c r="CR36" s="45">
        <f t="shared" si="13"/>
        <v>4.4033713022107781</v>
      </c>
      <c r="CS36" s="45">
        <f t="shared" si="14"/>
        <v>4.4033713022107781</v>
      </c>
      <c r="CT36" s="72">
        <f t="shared" si="15"/>
        <v>0</v>
      </c>
      <c r="CU36" s="72">
        <f t="shared" si="16"/>
        <v>0</v>
      </c>
      <c r="CV36" s="72">
        <f t="shared" si="17"/>
        <v>1220.1553523536027</v>
      </c>
      <c r="CW36" s="72">
        <f t="shared" si="18"/>
        <v>0</v>
      </c>
      <c r="CX36" s="70">
        <f t="shared" si="19"/>
        <v>13421.70887588963</v>
      </c>
    </row>
    <row r="37" spans="1:102" ht="12" customHeight="1">
      <c r="A37" s="31"/>
      <c r="B37" s="31"/>
      <c r="C37" s="31"/>
      <c r="D37" s="31"/>
      <c r="E37" s="31"/>
      <c r="F37" s="31"/>
      <c r="G37" s="31"/>
      <c r="H37" s="154" t="str">
        <f>'Variable Capacity unit'!$H$8</f>
        <v>Capacity [W]</v>
      </c>
      <c r="I37" s="154"/>
      <c r="J37" s="154"/>
      <c r="K37" s="154"/>
      <c r="L37" s="154" t="str">
        <f>'Variable Capacity unit'!$L$8</f>
        <v>Power [W]</v>
      </c>
      <c r="M37" s="154"/>
      <c r="N37" s="154"/>
      <c r="O37" s="154"/>
      <c r="P37" s="103" t="str">
        <f>'Variable Capacity unit'!$P$8</f>
        <v>EER</v>
      </c>
      <c r="Q37" s="104"/>
      <c r="R37" s="31"/>
      <c r="S37" s="31"/>
      <c r="T37" s="31"/>
      <c r="U37" s="108" t="str">
        <f>'Variable Capacity unit'!$U$38</f>
        <v>CSTL [ kWh ]</v>
      </c>
      <c r="V37" s="108"/>
      <c r="W37" s="108"/>
      <c r="X37" s="108"/>
      <c r="Y37" s="146">
        <f>'Multi-stage Capacity unit'!$CM$163/1000</f>
        <v>12655.753846153848</v>
      </c>
      <c r="Z37" s="146"/>
      <c r="AA37" s="146"/>
      <c r="AB37" s="146"/>
      <c r="AC37" s="146">
        <f>'Multi-stage Capacity unit'!CM223/1000</f>
        <v>12655.753846153848</v>
      </c>
      <c r="AD37" s="146"/>
      <c r="AE37" s="146"/>
      <c r="AF37" s="146"/>
      <c r="AG37" s="31"/>
      <c r="AH37" s="31"/>
      <c r="AI37" s="31" t="str">
        <f>'Variable Capacity unit'!$AI$38</f>
        <v>(46℃）</v>
      </c>
      <c r="AJ37" s="31"/>
      <c r="AK37" s="108" t="str">
        <f>'Variable Capacity unit'!$AK$38</f>
        <v>Full</v>
      </c>
      <c r="AL37" s="108"/>
      <c r="AM37" s="108"/>
      <c r="AN37" s="108"/>
      <c r="AO37" s="108"/>
      <c r="AP37" s="129"/>
      <c r="AQ37" s="105" t="s">
        <v>44</v>
      </c>
      <c r="AR37" s="105"/>
      <c r="AS37" s="105"/>
      <c r="AT37" s="105"/>
      <c r="AU37" s="105"/>
      <c r="AV37" s="105"/>
      <c r="AW37" s="105"/>
      <c r="AX37" s="105"/>
      <c r="AY37" s="105"/>
      <c r="AZ37" s="105"/>
      <c r="BA37" s="105"/>
      <c r="BB37" s="105"/>
      <c r="BC37" s="33"/>
      <c r="BD37" s="33"/>
      <c r="BE37" s="35" t="s">
        <v>127</v>
      </c>
      <c r="BK37" s="50"/>
      <c r="BL37" s="50"/>
      <c r="BM37" s="50"/>
      <c r="BN37" s="50"/>
      <c r="BO37" s="50"/>
      <c r="BP37" s="50"/>
      <c r="CB37" s="63">
        <v>20</v>
      </c>
      <c r="CC37" s="63">
        <f>data!$D41</f>
        <v>34</v>
      </c>
      <c r="CD37" s="63">
        <f>data!$E41</f>
        <v>6</v>
      </c>
      <c r="CE37" s="70">
        <f t="shared" si="0"/>
        <v>5133.333333333333</v>
      </c>
      <c r="CF37" s="71">
        <f t="shared" si="1"/>
        <v>1</v>
      </c>
      <c r="CG37" s="71">
        <f t="shared" si="2"/>
        <v>1</v>
      </c>
      <c r="CH37" s="71">
        <f t="shared" si="3"/>
        <v>0</v>
      </c>
      <c r="CI37" s="71">
        <f t="shared" si="4"/>
        <v>0.15257240914776932</v>
      </c>
      <c r="CJ37" s="72">
        <f t="shared" si="5"/>
        <v>5575</v>
      </c>
      <c r="CK37" s="72">
        <f t="shared" si="6"/>
        <v>2680.1996285979576</v>
      </c>
      <c r="CL37" s="72">
        <f t="shared" si="7"/>
        <v>2680.1996285979576</v>
      </c>
      <c r="CM37" s="70">
        <f t="shared" si="8"/>
        <v>30800</v>
      </c>
      <c r="CN37" s="72">
        <f t="shared" si="9"/>
        <v>1500</v>
      </c>
      <c r="CO37" s="72">
        <f t="shared" si="10"/>
        <v>625.47775346462436</v>
      </c>
      <c r="CP37" s="72">
        <f t="shared" si="11"/>
        <v>625.47775346462436</v>
      </c>
      <c r="CQ37" s="45">
        <f t="shared" si="12"/>
        <v>3.7166666666666668</v>
      </c>
      <c r="CR37" s="45">
        <f t="shared" si="13"/>
        <v>4.2850438944501068</v>
      </c>
      <c r="CS37" s="45">
        <f t="shared" si="14"/>
        <v>4.2850438944501068</v>
      </c>
      <c r="CT37" s="72">
        <f t="shared" si="15"/>
        <v>0</v>
      </c>
      <c r="CU37" s="72">
        <f t="shared" si="16"/>
        <v>0</v>
      </c>
      <c r="CV37" s="72">
        <f t="shared" si="17"/>
        <v>1366.5720339927782</v>
      </c>
      <c r="CW37" s="72">
        <f t="shared" si="18"/>
        <v>0</v>
      </c>
      <c r="CX37" s="70">
        <f t="shared" si="19"/>
        <v>8199.4322039566687</v>
      </c>
    </row>
    <row r="38" spans="1:102" ht="12" customHeight="1">
      <c r="A38" s="31"/>
      <c r="B38" s="31"/>
      <c r="C38" s="31"/>
      <c r="D38" s="123" t="str">
        <f>'Variable Capacity unit'!$D$39</f>
        <v>Full</v>
      </c>
      <c r="E38" s="124"/>
      <c r="F38" s="124"/>
      <c r="G38" s="125"/>
      <c r="H38" s="134">
        <v>5500</v>
      </c>
      <c r="I38" s="134"/>
      <c r="J38" s="134"/>
      <c r="K38" s="134"/>
      <c r="L38" s="134">
        <v>1520</v>
      </c>
      <c r="M38" s="134"/>
      <c r="N38" s="134"/>
      <c r="O38" s="134"/>
      <c r="P38" s="111">
        <f>$H$38/$L$38</f>
        <v>3.6184210526315788</v>
      </c>
      <c r="Q38" s="111"/>
      <c r="R38" s="31"/>
      <c r="S38" s="31"/>
      <c r="T38" s="31"/>
      <c r="U38" s="108" t="str">
        <f>'Variable Capacity unit'!$U$39</f>
        <v>CSEC [ kWh ]</v>
      </c>
      <c r="V38" s="108"/>
      <c r="W38" s="108"/>
      <c r="X38" s="108"/>
      <c r="Y38" s="146">
        <f>'Multi-stage Capacity unit'!$CX$163/1000</f>
        <v>3193.5338005707808</v>
      </c>
      <c r="Z38" s="146"/>
      <c r="AA38" s="146"/>
      <c r="AB38" s="146"/>
      <c r="AC38" s="146">
        <f>'Multi-stage Capacity unit'!CX223/1000</f>
        <v>3193.5338005707808</v>
      </c>
      <c r="AD38" s="146"/>
      <c r="AE38" s="146"/>
      <c r="AF38" s="146"/>
      <c r="AG38" s="31"/>
      <c r="AH38" s="31"/>
      <c r="AI38" s="31"/>
      <c r="AJ38" s="31"/>
      <c r="AK38" s="108" t="str">
        <f>'Variable Capacity unit'!$AK$39</f>
        <v>Half</v>
      </c>
      <c r="AL38" s="108"/>
      <c r="AM38" s="108"/>
      <c r="AN38" s="108"/>
      <c r="AO38" s="108"/>
      <c r="AP38" s="129"/>
      <c r="AQ38" s="57"/>
      <c r="AR38" s="101" t="s">
        <v>105</v>
      </c>
      <c r="AS38" s="101"/>
      <c r="AT38" s="101"/>
      <c r="AU38" s="101"/>
      <c r="AV38" s="102"/>
      <c r="AW38" s="57"/>
      <c r="AX38" s="101" t="s">
        <v>106</v>
      </c>
      <c r="AY38" s="101"/>
      <c r="AZ38" s="101"/>
      <c r="BA38" s="101"/>
      <c r="BB38" s="102"/>
      <c r="BC38" s="81">
        <v>1</v>
      </c>
      <c r="BD38" s="33" t="str">
        <f>IF($BC$31=2,IF($BC$38=2,"Measure","Default"),"Default")</f>
        <v>Default</v>
      </c>
      <c r="BE38" s="35" t="s">
        <v>127</v>
      </c>
      <c r="BK38" s="50"/>
      <c r="BL38" s="50"/>
      <c r="BM38" s="50"/>
      <c r="BN38" s="50"/>
      <c r="BO38" s="50"/>
      <c r="BP38" s="50"/>
      <c r="CB38" s="63">
        <v>21</v>
      </c>
      <c r="CC38" s="63">
        <f>data!$D42</f>
        <v>35</v>
      </c>
      <c r="CD38" s="63">
        <f>data!$E42</f>
        <v>4</v>
      </c>
      <c r="CE38" s="70">
        <f t="shared" si="0"/>
        <v>5500</v>
      </c>
      <c r="CF38" s="71">
        <f t="shared" si="1"/>
        <v>1</v>
      </c>
      <c r="CG38" s="71">
        <f t="shared" si="2"/>
        <v>1</v>
      </c>
      <c r="CH38" s="71">
        <f t="shared" si="3"/>
        <v>0</v>
      </c>
      <c r="CI38" s="71">
        <f t="shared" si="4"/>
        <v>0</v>
      </c>
      <c r="CJ38" s="72">
        <f t="shared" si="5"/>
        <v>5500</v>
      </c>
      <c r="CK38" s="72">
        <f t="shared" si="6"/>
        <v>2646.2395543175489</v>
      </c>
      <c r="CL38" s="72">
        <f t="shared" si="7"/>
        <v>2646.2395543175489</v>
      </c>
      <c r="CM38" s="70">
        <f t="shared" si="8"/>
        <v>22000</v>
      </c>
      <c r="CN38" s="72">
        <f t="shared" si="9"/>
        <v>1520</v>
      </c>
      <c r="CO38" s="72">
        <f t="shared" si="10"/>
        <v>634.57330415754916</v>
      </c>
      <c r="CP38" s="72">
        <f t="shared" si="11"/>
        <v>634.57330415754916</v>
      </c>
      <c r="CQ38" s="45">
        <f t="shared" si="12"/>
        <v>3.6184210526315788</v>
      </c>
      <c r="CR38" s="45">
        <f t="shared" si="13"/>
        <v>4.1701085390452413</v>
      </c>
      <c r="CS38" s="45">
        <f t="shared" si="14"/>
        <v>4.1701085390452413</v>
      </c>
      <c r="CT38" s="72">
        <f t="shared" si="15"/>
        <v>0</v>
      </c>
      <c r="CU38" s="72">
        <f t="shared" si="16"/>
        <v>0</v>
      </c>
      <c r="CV38" s="72">
        <f t="shared" si="17"/>
        <v>1520</v>
      </c>
      <c r="CW38" s="72">
        <f t="shared" si="18"/>
        <v>0</v>
      </c>
      <c r="CX38" s="70">
        <f t="shared" si="19"/>
        <v>6080</v>
      </c>
    </row>
    <row r="39" spans="1:102" ht="12" customHeight="1">
      <c r="A39" s="31"/>
      <c r="B39" s="31"/>
      <c r="C39" s="31"/>
      <c r="D39" s="123" t="str">
        <f>'Variable Capacity unit'!$D$40</f>
        <v>Half</v>
      </c>
      <c r="E39" s="124"/>
      <c r="F39" s="124"/>
      <c r="G39" s="125"/>
      <c r="H39" s="134">
        <v>2600</v>
      </c>
      <c r="I39" s="134"/>
      <c r="J39" s="134"/>
      <c r="K39" s="134"/>
      <c r="L39" s="134">
        <v>600</v>
      </c>
      <c r="M39" s="134"/>
      <c r="N39" s="134"/>
      <c r="O39" s="134"/>
      <c r="P39" s="111">
        <f>$H$39/$L$39</f>
        <v>4.333333333333333</v>
      </c>
      <c r="Q39" s="111"/>
      <c r="R39" s="31"/>
      <c r="S39" s="31"/>
      <c r="T39" s="31"/>
      <c r="U39" s="108" t="str">
        <f>'Variable Capacity unit'!$U$40</f>
        <v>CSPF</v>
      </c>
      <c r="V39" s="108"/>
      <c r="W39" s="108"/>
      <c r="X39" s="108"/>
      <c r="Y39" s="111">
        <f>'Multi-stage Capacity unit'!$CF$112</f>
        <v>3.9629309211920294</v>
      </c>
      <c r="Z39" s="111"/>
      <c r="AA39" s="111"/>
      <c r="AB39" s="111"/>
      <c r="AC39" s="147">
        <f>'Multi-stage Capacity unit'!CF172</f>
        <v>3.9629309211920294</v>
      </c>
      <c r="AD39" s="147"/>
      <c r="AE39" s="147"/>
      <c r="AF39" s="147"/>
      <c r="AG39" s="31"/>
      <c r="AH39" s="31"/>
      <c r="AI39" s="31"/>
      <c r="AJ39" s="31"/>
      <c r="AK39" s="108" t="str">
        <f>'Variable Capacity unit'!$AK$40</f>
        <v>Minimum</v>
      </c>
      <c r="AL39" s="108"/>
      <c r="AM39" s="108"/>
      <c r="AN39" s="108"/>
      <c r="AO39" s="108"/>
      <c r="AP39" s="129"/>
      <c r="AQ39" s="57"/>
      <c r="AR39" s="101" t="s">
        <v>105</v>
      </c>
      <c r="AS39" s="101"/>
      <c r="AT39" s="101"/>
      <c r="AU39" s="101"/>
      <c r="AV39" s="102"/>
      <c r="AW39" s="57"/>
      <c r="AX39" s="101" t="s">
        <v>106</v>
      </c>
      <c r="AY39" s="101"/>
      <c r="AZ39" s="101"/>
      <c r="BA39" s="101"/>
      <c r="BB39" s="102"/>
      <c r="BC39" s="81">
        <v>1</v>
      </c>
      <c r="BD39" s="33" t="str">
        <f>IF(AND($BC$31=2,$BC$35=2),IF($BC$39=2,"Measure","Default"),"Default")</f>
        <v>Default</v>
      </c>
      <c r="BE39" s="35" t="s">
        <v>127</v>
      </c>
      <c r="BK39" s="50"/>
      <c r="BL39" s="50"/>
      <c r="BM39" s="50"/>
      <c r="BN39" s="50"/>
      <c r="BO39" s="50"/>
      <c r="BP39" s="50"/>
      <c r="CB39" s="63">
        <v>22</v>
      </c>
      <c r="CC39" s="63">
        <f>data!$D43</f>
        <v>36</v>
      </c>
      <c r="CD39" s="63">
        <f>data!$E43</f>
        <v>0</v>
      </c>
      <c r="CE39" s="70">
        <f t="shared" si="0"/>
        <v>5866.666666666667</v>
      </c>
      <c r="CF39" s="71">
        <f t="shared" si="1"/>
        <v>1</v>
      </c>
      <c r="CG39" s="71">
        <f t="shared" si="2"/>
        <v>1</v>
      </c>
      <c r="CH39" s="71">
        <f t="shared" si="3"/>
        <v>0</v>
      </c>
      <c r="CI39" s="71">
        <f t="shared" si="4"/>
        <v>0</v>
      </c>
      <c r="CJ39" s="72">
        <f t="shared" si="5"/>
        <v>5425</v>
      </c>
      <c r="CK39" s="72">
        <f t="shared" si="6"/>
        <v>2612.2794800371403</v>
      </c>
      <c r="CL39" s="72">
        <f t="shared" si="7"/>
        <v>2612.2794800371403</v>
      </c>
      <c r="CM39" s="70">
        <f t="shared" si="8"/>
        <v>0</v>
      </c>
      <c r="CN39" s="72">
        <f t="shared" si="9"/>
        <v>1540</v>
      </c>
      <c r="CO39" s="72">
        <f t="shared" si="10"/>
        <v>643.66885485047396</v>
      </c>
      <c r="CP39" s="72">
        <f t="shared" si="11"/>
        <v>643.66885485047396</v>
      </c>
      <c r="CQ39" s="45">
        <f t="shared" si="12"/>
        <v>3.5227272727272729</v>
      </c>
      <c r="CR39" s="45">
        <f t="shared" si="13"/>
        <v>4.05842143883749</v>
      </c>
      <c r="CS39" s="45">
        <f t="shared" si="14"/>
        <v>4.05842143883749</v>
      </c>
      <c r="CT39" s="72">
        <f t="shared" si="15"/>
        <v>0</v>
      </c>
      <c r="CU39" s="72">
        <f t="shared" si="16"/>
        <v>0</v>
      </c>
      <c r="CV39" s="72">
        <f t="shared" si="17"/>
        <v>0</v>
      </c>
      <c r="CW39" s="72">
        <f t="shared" si="18"/>
        <v>1540</v>
      </c>
      <c r="CX39" s="70">
        <f t="shared" si="19"/>
        <v>0</v>
      </c>
    </row>
    <row r="40" spans="1:102" ht="12" customHeight="1">
      <c r="A40" s="31"/>
      <c r="B40" s="31"/>
      <c r="C40" s="31"/>
      <c r="D40" s="123" t="str">
        <f>'Variable Capacity unit'!$D$41</f>
        <v>Minimum</v>
      </c>
      <c r="E40" s="124"/>
      <c r="F40" s="124"/>
      <c r="G40" s="125"/>
      <c r="H40" s="128">
        <v>2000</v>
      </c>
      <c r="I40" s="128"/>
      <c r="J40" s="128"/>
      <c r="K40" s="128"/>
      <c r="L40" s="128">
        <v>320</v>
      </c>
      <c r="M40" s="128"/>
      <c r="N40" s="128"/>
      <c r="O40" s="128"/>
      <c r="P40" s="111">
        <f>$H$40/$L$40</f>
        <v>6.25</v>
      </c>
      <c r="Q40" s="111"/>
      <c r="R40" s="31"/>
      <c r="S40" s="31"/>
      <c r="T40" s="31"/>
      <c r="U40" s="31"/>
      <c r="V40" s="31"/>
      <c r="W40" s="31"/>
      <c r="X40" s="31"/>
      <c r="Y40" s="31"/>
      <c r="Z40" s="31"/>
      <c r="AA40" s="31"/>
      <c r="AB40" s="31"/>
      <c r="AC40" s="31"/>
      <c r="AD40" s="31"/>
      <c r="AE40" s="31"/>
      <c r="AF40" s="31"/>
      <c r="AG40" s="31"/>
      <c r="AH40" s="31"/>
      <c r="AI40" s="31" t="str">
        <f>'Variable Capacity unit'!$AI$41</f>
        <v>(35℃）</v>
      </c>
      <c r="AJ40" s="31"/>
      <c r="AK40" s="108" t="str">
        <f>'Variable Capacity unit'!$AK$41</f>
        <v>Full</v>
      </c>
      <c r="AL40" s="108"/>
      <c r="AM40" s="108"/>
      <c r="AN40" s="108"/>
      <c r="AO40" s="108"/>
      <c r="AP40" s="129"/>
      <c r="AQ40" s="105" t="s">
        <v>44</v>
      </c>
      <c r="AR40" s="105"/>
      <c r="AS40" s="105"/>
      <c r="AT40" s="105"/>
      <c r="AU40" s="105"/>
      <c r="AV40" s="105"/>
      <c r="AW40" s="105"/>
      <c r="AX40" s="105"/>
      <c r="AY40" s="105"/>
      <c r="AZ40" s="105"/>
      <c r="BA40" s="105"/>
      <c r="BB40" s="105"/>
      <c r="BC40" s="33"/>
      <c r="BD40" s="33"/>
      <c r="BE40" s="35" t="s">
        <v>127</v>
      </c>
      <c r="BK40" s="50"/>
      <c r="BL40" s="50"/>
      <c r="BM40" s="50"/>
      <c r="BN40" s="50"/>
      <c r="BO40" s="50"/>
      <c r="BP40" s="50"/>
      <c r="CB40" s="63">
        <v>23</v>
      </c>
      <c r="CC40" s="63">
        <f>data!$D44</f>
        <v>37</v>
      </c>
      <c r="CD40" s="63">
        <f>data!$E44</f>
        <v>0</v>
      </c>
      <c r="CE40" s="70">
        <f t="shared" si="0"/>
        <v>6233.333333333333</v>
      </c>
      <c r="CF40" s="71">
        <f t="shared" si="1"/>
        <v>1</v>
      </c>
      <c r="CG40" s="71">
        <f t="shared" si="2"/>
        <v>1</v>
      </c>
      <c r="CH40" s="71">
        <f t="shared" si="3"/>
        <v>0</v>
      </c>
      <c r="CI40" s="71">
        <f t="shared" si="4"/>
        <v>0</v>
      </c>
      <c r="CJ40" s="72">
        <f t="shared" si="5"/>
        <v>5350</v>
      </c>
      <c r="CK40" s="72">
        <f t="shared" si="6"/>
        <v>2578.3194057567321</v>
      </c>
      <c r="CL40" s="72">
        <f t="shared" si="7"/>
        <v>2578.3194057567321</v>
      </c>
      <c r="CM40" s="70">
        <f t="shared" si="8"/>
        <v>0</v>
      </c>
      <c r="CN40" s="72">
        <f t="shared" si="9"/>
        <v>1560</v>
      </c>
      <c r="CO40" s="72">
        <f t="shared" si="10"/>
        <v>652.76440554339888</v>
      </c>
      <c r="CP40" s="72">
        <f t="shared" si="11"/>
        <v>652.76440554339888</v>
      </c>
      <c r="CQ40" s="45">
        <f t="shared" si="12"/>
        <v>3.4294871794871793</v>
      </c>
      <c r="CR40" s="45">
        <f t="shared" si="13"/>
        <v>3.9498468112862093</v>
      </c>
      <c r="CS40" s="45">
        <f t="shared" si="14"/>
        <v>3.9498468112862093</v>
      </c>
      <c r="CT40" s="72">
        <f t="shared" si="15"/>
        <v>0</v>
      </c>
      <c r="CU40" s="72">
        <f t="shared" si="16"/>
        <v>0</v>
      </c>
      <c r="CV40" s="72">
        <f t="shared" si="17"/>
        <v>0</v>
      </c>
      <c r="CW40" s="72">
        <f t="shared" si="18"/>
        <v>1560</v>
      </c>
      <c r="CX40" s="70">
        <f t="shared" si="19"/>
        <v>0</v>
      </c>
    </row>
    <row r="41" spans="1:102" ht="12" customHeight="1">
      <c r="A41" s="31"/>
      <c r="B41" s="31"/>
      <c r="C41" s="31"/>
      <c r="D41" s="31"/>
      <c r="E41" s="31"/>
      <c r="F41" s="31"/>
      <c r="G41" s="31"/>
      <c r="H41" s="31"/>
      <c r="I41" s="31"/>
      <c r="J41" s="31"/>
      <c r="K41" s="31"/>
      <c r="L41" s="31"/>
      <c r="M41" s="31"/>
      <c r="N41" s="31"/>
      <c r="O41" s="31"/>
      <c r="P41" s="31"/>
      <c r="Q41" s="31"/>
      <c r="R41" s="31"/>
      <c r="S41" s="31"/>
      <c r="T41" s="31"/>
      <c r="U41" s="108" t="str">
        <f>'Variable Capacity unit'!$U$42</f>
        <v>CD</v>
      </c>
      <c r="V41" s="108"/>
      <c r="W41" s="108"/>
      <c r="X41" s="108"/>
      <c r="Y41" s="142">
        <f>'Multi-stage Capacity unit'!CH114</f>
        <v>0.27</v>
      </c>
      <c r="Z41" s="143"/>
      <c r="AA41" s="143"/>
      <c r="AB41" s="144"/>
      <c r="AC41" s="142">
        <f>'Multi-stage Capacity unit'!CH174</f>
        <v>0.27</v>
      </c>
      <c r="AD41" s="130"/>
      <c r="AE41" s="130"/>
      <c r="AF41" s="131"/>
      <c r="AG41" s="31"/>
      <c r="AH41" s="31"/>
      <c r="AI41" s="31"/>
      <c r="AJ41" s="31"/>
      <c r="AK41" s="108" t="str">
        <f>'Variable Capacity unit'!$AK$42</f>
        <v>Half</v>
      </c>
      <c r="AL41" s="108"/>
      <c r="AM41" s="108"/>
      <c r="AN41" s="108"/>
      <c r="AO41" s="108"/>
      <c r="AP41" s="129"/>
      <c r="AQ41" s="105" t="s">
        <v>44</v>
      </c>
      <c r="AR41" s="105"/>
      <c r="AS41" s="105"/>
      <c r="AT41" s="105"/>
      <c r="AU41" s="105"/>
      <c r="AV41" s="105"/>
      <c r="AW41" s="105"/>
      <c r="AX41" s="105"/>
      <c r="AY41" s="105"/>
      <c r="AZ41" s="105"/>
      <c r="BA41" s="105"/>
      <c r="BB41" s="105"/>
      <c r="BC41" s="33"/>
      <c r="BD41" s="33"/>
      <c r="BE41" s="35" t="s">
        <v>127</v>
      </c>
      <c r="BK41" s="50"/>
      <c r="BL41" s="50"/>
      <c r="BM41" s="50"/>
      <c r="BN41" s="50"/>
      <c r="BO41" s="50"/>
      <c r="BP41" s="50"/>
      <c r="CB41" s="63">
        <v>24</v>
      </c>
      <c r="CC41" s="63">
        <f>data!$D45</f>
        <v>38</v>
      </c>
      <c r="CD41" s="63">
        <f>data!$E45</f>
        <v>0</v>
      </c>
      <c r="CE41" s="70">
        <f t="shared" si="0"/>
        <v>6600</v>
      </c>
      <c r="CF41" s="71">
        <f t="shared" si="1"/>
        <v>1</v>
      </c>
      <c r="CG41" s="71">
        <f t="shared" si="2"/>
        <v>1</v>
      </c>
      <c r="CH41" s="71">
        <f t="shared" si="3"/>
        <v>0</v>
      </c>
      <c r="CI41" s="71">
        <f t="shared" si="4"/>
        <v>0</v>
      </c>
      <c r="CJ41" s="72">
        <f t="shared" si="5"/>
        <v>5275</v>
      </c>
      <c r="CK41" s="72">
        <f t="shared" si="6"/>
        <v>2544.3593314763234</v>
      </c>
      <c r="CL41" s="72">
        <f t="shared" si="7"/>
        <v>2544.3593314763234</v>
      </c>
      <c r="CM41" s="70">
        <f t="shared" si="8"/>
        <v>0</v>
      </c>
      <c r="CN41" s="72">
        <f t="shared" si="9"/>
        <v>1580</v>
      </c>
      <c r="CO41" s="72">
        <f t="shared" si="10"/>
        <v>661.8599562363238</v>
      </c>
      <c r="CP41" s="72">
        <f t="shared" si="11"/>
        <v>661.8599562363238</v>
      </c>
      <c r="CQ41" s="45">
        <f t="shared" si="12"/>
        <v>3.3386075949367089</v>
      </c>
      <c r="CR41" s="45">
        <f t="shared" si="13"/>
        <v>3.8442563377679768</v>
      </c>
      <c r="CS41" s="45">
        <f t="shared" si="14"/>
        <v>3.8442563377679768</v>
      </c>
      <c r="CT41" s="72">
        <f t="shared" si="15"/>
        <v>0</v>
      </c>
      <c r="CU41" s="72">
        <f t="shared" si="16"/>
        <v>0</v>
      </c>
      <c r="CV41" s="72">
        <f t="shared" si="17"/>
        <v>0</v>
      </c>
      <c r="CW41" s="72">
        <f t="shared" si="18"/>
        <v>1580</v>
      </c>
      <c r="CX41" s="70">
        <f t="shared" si="19"/>
        <v>0</v>
      </c>
    </row>
    <row r="42" spans="1:102" ht="12" customHeight="1">
      <c r="A42" s="31"/>
      <c r="B42" s="31"/>
      <c r="C42" s="31"/>
      <c r="D42" s="31" t="str">
        <f>'Variable Capacity unit'!$D$43</f>
        <v>Medium condition ( 29℃ ）</v>
      </c>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108" t="str">
        <f>'Variable Capacity unit'!$AK$43</f>
        <v>Minimum</v>
      </c>
      <c r="AL42" s="108"/>
      <c r="AM42" s="108"/>
      <c r="AN42" s="108"/>
      <c r="AO42" s="108"/>
      <c r="AP42" s="129"/>
      <c r="AQ42" s="57"/>
      <c r="AR42" s="101" t="s">
        <v>45</v>
      </c>
      <c r="AS42" s="101"/>
      <c r="AT42" s="101"/>
      <c r="AU42" s="101"/>
      <c r="AV42" s="101"/>
      <c r="AW42" s="57"/>
      <c r="AX42" s="101" t="s">
        <v>44</v>
      </c>
      <c r="AY42" s="101"/>
      <c r="AZ42" s="101"/>
      <c r="BA42" s="101"/>
      <c r="BB42" s="102"/>
      <c r="BC42" s="81">
        <v>1</v>
      </c>
      <c r="BD42" s="33" t="str">
        <f>IF(AND($BC$31=2,$BC$35=2),"Measure","Default")</f>
        <v>Default</v>
      </c>
      <c r="BE42" s="35" t="s">
        <v>127</v>
      </c>
      <c r="BK42" s="50"/>
      <c r="BL42" s="50"/>
      <c r="BM42" s="50"/>
      <c r="BN42" s="50"/>
      <c r="BO42" s="50"/>
      <c r="BP42" s="50"/>
      <c r="CB42" s="63">
        <v>25</v>
      </c>
      <c r="CC42" s="63">
        <f>data!$D46</f>
        <v>39</v>
      </c>
      <c r="CD42" s="63">
        <f>data!$E46</f>
        <v>0</v>
      </c>
      <c r="CE42" s="70">
        <f t="shared" si="0"/>
        <v>6966.666666666667</v>
      </c>
      <c r="CF42" s="71">
        <f t="shared" si="1"/>
        <v>1</v>
      </c>
      <c r="CG42" s="71">
        <f t="shared" si="2"/>
        <v>1</v>
      </c>
      <c r="CH42" s="71">
        <f t="shared" si="3"/>
        <v>0</v>
      </c>
      <c r="CI42" s="71">
        <f t="shared" si="4"/>
        <v>0</v>
      </c>
      <c r="CJ42" s="72">
        <f t="shared" si="5"/>
        <v>5200</v>
      </c>
      <c r="CK42" s="72">
        <f t="shared" si="6"/>
        <v>2510.3992571959147</v>
      </c>
      <c r="CL42" s="72">
        <f t="shared" si="7"/>
        <v>2510.3992571959147</v>
      </c>
      <c r="CM42" s="70">
        <f t="shared" si="8"/>
        <v>0</v>
      </c>
      <c r="CN42" s="72">
        <f t="shared" si="9"/>
        <v>1600</v>
      </c>
      <c r="CO42" s="72">
        <f t="shared" si="10"/>
        <v>670.9555069292486</v>
      </c>
      <c r="CP42" s="72">
        <f t="shared" si="11"/>
        <v>670.9555069292486</v>
      </c>
      <c r="CQ42" s="45">
        <f t="shared" si="12"/>
        <v>3.25</v>
      </c>
      <c r="CR42" s="45">
        <f t="shared" si="13"/>
        <v>3.7415286576679563</v>
      </c>
      <c r="CS42" s="45">
        <f t="shared" si="14"/>
        <v>3.7415286576679563</v>
      </c>
      <c r="CT42" s="72">
        <f t="shared" si="15"/>
        <v>0</v>
      </c>
      <c r="CU42" s="72">
        <f t="shared" si="16"/>
        <v>0</v>
      </c>
      <c r="CV42" s="72">
        <f t="shared" si="17"/>
        <v>0</v>
      </c>
      <c r="CW42" s="72">
        <f t="shared" si="18"/>
        <v>1600</v>
      </c>
      <c r="CX42" s="70">
        <f t="shared" si="19"/>
        <v>0</v>
      </c>
    </row>
    <row r="43" spans="1:102" ht="12" customHeight="1">
      <c r="A43" s="31"/>
      <c r="B43" s="31"/>
      <c r="C43" s="31"/>
      <c r="D43" s="31"/>
      <c r="E43" s="31"/>
      <c r="F43" s="31"/>
      <c r="G43" s="31"/>
      <c r="H43" s="154" t="str">
        <f>'Variable Capacity unit'!$H$8</f>
        <v>Capacity [W]</v>
      </c>
      <c r="I43" s="154"/>
      <c r="J43" s="154"/>
      <c r="K43" s="154"/>
      <c r="L43" s="154" t="str">
        <f>'Variable Capacity unit'!$L$8</f>
        <v>Power [W]</v>
      </c>
      <c r="M43" s="154"/>
      <c r="N43" s="154"/>
      <c r="O43" s="154"/>
      <c r="P43" s="103" t="str">
        <f>'Variable Capacity unit'!$P$8</f>
        <v>EER</v>
      </c>
      <c r="Q43" s="104"/>
      <c r="R43" s="31"/>
      <c r="S43" s="31"/>
      <c r="T43" s="31"/>
      <c r="U43" s="31"/>
      <c r="V43" s="31"/>
      <c r="W43" s="31"/>
      <c r="X43" s="31"/>
      <c r="Y43" s="31"/>
      <c r="Z43" s="31"/>
      <c r="AA43" s="31"/>
      <c r="AB43" s="31"/>
      <c r="AC43" s="31"/>
      <c r="AD43" s="31"/>
      <c r="AE43" s="31"/>
      <c r="AF43" s="31"/>
      <c r="AG43" s="31"/>
      <c r="AH43" s="31"/>
      <c r="AI43" s="31" t="str">
        <f>'Variable Capacity unit'!$AI$44</f>
        <v>(29℃）</v>
      </c>
      <c r="AJ43" s="31"/>
      <c r="AK43" s="108" t="str">
        <f>'Variable Capacity unit'!$AK$44</f>
        <v>Full</v>
      </c>
      <c r="AL43" s="108"/>
      <c r="AM43" s="108"/>
      <c r="AN43" s="108"/>
      <c r="AO43" s="108"/>
      <c r="AP43" s="129"/>
      <c r="AQ43" s="57"/>
      <c r="AR43" s="101" t="s">
        <v>105</v>
      </c>
      <c r="AS43" s="101"/>
      <c r="AT43" s="101"/>
      <c r="AU43" s="101"/>
      <c r="AV43" s="102"/>
      <c r="AW43" s="57"/>
      <c r="AX43" s="101" t="s">
        <v>106</v>
      </c>
      <c r="AY43" s="101"/>
      <c r="AZ43" s="101"/>
      <c r="BA43" s="101"/>
      <c r="BB43" s="102"/>
      <c r="BC43" s="81">
        <v>1</v>
      </c>
      <c r="BD43" s="33" t="str">
        <f>IF($BC$31=2,IF($BC$43=2,"Measure","Default"),"Default")</f>
        <v>Default</v>
      </c>
      <c r="BE43" s="35" t="s">
        <v>127</v>
      </c>
      <c r="BK43" s="50"/>
      <c r="BL43" s="50"/>
      <c r="BM43" s="50"/>
      <c r="BN43" s="50"/>
      <c r="BO43" s="50"/>
      <c r="BP43" s="50"/>
      <c r="CB43" s="63">
        <v>26</v>
      </c>
      <c r="CC43" s="63">
        <f>data!$D47</f>
        <v>40</v>
      </c>
      <c r="CD43" s="63">
        <f>data!$E47</f>
        <v>0</v>
      </c>
      <c r="CE43" s="70">
        <f t="shared" si="0"/>
        <v>7333.333333333333</v>
      </c>
      <c r="CF43" s="71">
        <f t="shared" si="1"/>
        <v>1</v>
      </c>
      <c r="CG43" s="71">
        <f t="shared" si="2"/>
        <v>1</v>
      </c>
      <c r="CH43" s="71">
        <f t="shared" si="3"/>
        <v>0</v>
      </c>
      <c r="CI43" s="71">
        <f t="shared" si="4"/>
        <v>0</v>
      </c>
      <c r="CJ43" s="72">
        <f t="shared" si="5"/>
        <v>5125</v>
      </c>
      <c r="CK43" s="72">
        <f t="shared" si="6"/>
        <v>2476.4391829155065</v>
      </c>
      <c r="CL43" s="72">
        <f t="shared" si="7"/>
        <v>2476.4391829155065</v>
      </c>
      <c r="CM43" s="70">
        <f t="shared" si="8"/>
        <v>0</v>
      </c>
      <c r="CN43" s="72">
        <f t="shared" si="9"/>
        <v>1620</v>
      </c>
      <c r="CO43" s="72">
        <f t="shared" si="10"/>
        <v>680.0510576221734</v>
      </c>
      <c r="CP43" s="72">
        <f t="shared" si="11"/>
        <v>680.0510576221734</v>
      </c>
      <c r="CQ43" s="45">
        <f t="shared" si="12"/>
        <v>3.1635802469135803</v>
      </c>
      <c r="CR43" s="45">
        <f t="shared" si="13"/>
        <v>3.6415489030698347</v>
      </c>
      <c r="CS43" s="45">
        <f t="shared" si="14"/>
        <v>3.6415489030698347</v>
      </c>
      <c r="CT43" s="72">
        <f t="shared" si="15"/>
        <v>0</v>
      </c>
      <c r="CU43" s="72">
        <f t="shared" si="16"/>
        <v>0</v>
      </c>
      <c r="CV43" s="72">
        <f t="shared" si="17"/>
        <v>0</v>
      </c>
      <c r="CW43" s="72">
        <f t="shared" si="18"/>
        <v>1620</v>
      </c>
      <c r="CX43" s="70">
        <f t="shared" si="19"/>
        <v>0</v>
      </c>
    </row>
    <row r="44" spans="1:102" ht="12" customHeight="1">
      <c r="A44" s="31"/>
      <c r="B44" s="31"/>
      <c r="C44" s="31"/>
      <c r="D44" s="123" t="str">
        <f>'Variable Capacity unit'!$D$45</f>
        <v>Full</v>
      </c>
      <c r="E44" s="124"/>
      <c r="F44" s="124"/>
      <c r="G44" s="125"/>
      <c r="H44" s="140">
        <v>5900</v>
      </c>
      <c r="I44" s="140"/>
      <c r="J44" s="140"/>
      <c r="K44" s="140"/>
      <c r="L44" s="140">
        <v>1400</v>
      </c>
      <c r="M44" s="140"/>
      <c r="N44" s="140"/>
      <c r="O44" s="140"/>
      <c r="P44" s="147">
        <f>$H$44/$L$44</f>
        <v>4.2142857142857144</v>
      </c>
      <c r="Q44" s="108"/>
      <c r="R44" s="31"/>
      <c r="S44" s="31"/>
      <c r="T44" s="31"/>
      <c r="U44" s="31"/>
      <c r="V44" s="31"/>
      <c r="W44" s="31"/>
      <c r="X44" s="31"/>
      <c r="Y44" s="31"/>
      <c r="Z44" s="31"/>
      <c r="AA44" s="31"/>
      <c r="AB44" s="31"/>
      <c r="AC44" s="31"/>
      <c r="AD44" s="31"/>
      <c r="AE44" s="31"/>
      <c r="AF44" s="31"/>
      <c r="AG44" s="31"/>
      <c r="AH44" s="31"/>
      <c r="AI44" s="31"/>
      <c r="AJ44" s="31"/>
      <c r="AK44" s="108" t="str">
        <f>'Variable Capacity unit'!$AK$45</f>
        <v>Half</v>
      </c>
      <c r="AL44" s="108"/>
      <c r="AM44" s="108"/>
      <c r="AN44" s="108"/>
      <c r="AO44" s="108"/>
      <c r="AP44" s="129"/>
      <c r="AQ44" s="57"/>
      <c r="AR44" s="101" t="s">
        <v>105</v>
      </c>
      <c r="AS44" s="101"/>
      <c r="AT44" s="101"/>
      <c r="AU44" s="101"/>
      <c r="AV44" s="102"/>
      <c r="AW44" s="57"/>
      <c r="AX44" s="101" t="s">
        <v>106</v>
      </c>
      <c r="AY44" s="101"/>
      <c r="AZ44" s="101"/>
      <c r="BA44" s="101"/>
      <c r="BB44" s="102"/>
      <c r="BC44" s="81">
        <v>1</v>
      </c>
      <c r="BD44" s="33" t="str">
        <f>IF($BC$31=2,IF($BC$44=2,"Measure","Default"),"Default")</f>
        <v>Default</v>
      </c>
      <c r="BE44" s="35" t="s">
        <v>127</v>
      </c>
      <c r="BK44" s="50"/>
      <c r="BL44" s="50"/>
      <c r="BM44" s="50"/>
      <c r="BN44" s="50"/>
      <c r="BO44" s="50"/>
      <c r="BP44" s="50"/>
      <c r="CB44" s="63">
        <v>27</v>
      </c>
      <c r="CC44" s="63">
        <f>data!$D48</f>
        <v>41</v>
      </c>
      <c r="CD44" s="63">
        <f>data!$E48</f>
        <v>0</v>
      </c>
      <c r="CE44" s="70">
        <f t="shared" si="0"/>
        <v>7700</v>
      </c>
      <c r="CF44" s="71">
        <f t="shared" si="1"/>
        <v>1</v>
      </c>
      <c r="CG44" s="71">
        <f t="shared" si="2"/>
        <v>1</v>
      </c>
      <c r="CH44" s="71">
        <f t="shared" si="3"/>
        <v>0</v>
      </c>
      <c r="CI44" s="71">
        <f t="shared" si="4"/>
        <v>0</v>
      </c>
      <c r="CJ44" s="72">
        <f t="shared" si="5"/>
        <v>5050</v>
      </c>
      <c r="CK44" s="72">
        <f t="shared" si="6"/>
        <v>2442.4791086350979</v>
      </c>
      <c r="CL44" s="72">
        <f t="shared" si="7"/>
        <v>2442.4791086350979</v>
      </c>
      <c r="CM44" s="70">
        <f t="shared" si="8"/>
        <v>0</v>
      </c>
      <c r="CN44" s="72">
        <f t="shared" si="9"/>
        <v>1640</v>
      </c>
      <c r="CO44" s="72">
        <f t="shared" si="10"/>
        <v>689.14660831509832</v>
      </c>
      <c r="CP44" s="72">
        <f t="shared" si="11"/>
        <v>689.14660831509832</v>
      </c>
      <c r="CQ44" s="45">
        <f t="shared" si="12"/>
        <v>3.0792682926829267</v>
      </c>
      <c r="CR44" s="45">
        <f t="shared" si="13"/>
        <v>3.5442082702935163</v>
      </c>
      <c r="CS44" s="45">
        <f t="shared" si="14"/>
        <v>3.5442082702935163</v>
      </c>
      <c r="CT44" s="72">
        <f t="shared" si="15"/>
        <v>0</v>
      </c>
      <c r="CU44" s="72">
        <f t="shared" si="16"/>
        <v>0</v>
      </c>
      <c r="CV44" s="72">
        <f t="shared" si="17"/>
        <v>0</v>
      </c>
      <c r="CW44" s="72">
        <f t="shared" si="18"/>
        <v>1640</v>
      </c>
      <c r="CX44" s="70">
        <f t="shared" si="19"/>
        <v>0</v>
      </c>
    </row>
    <row r="45" spans="1:102" ht="12" customHeight="1">
      <c r="A45" s="31"/>
      <c r="B45" s="31"/>
      <c r="C45" s="31"/>
      <c r="D45" s="123" t="str">
        <f>'Variable Capacity unit'!$D$46</f>
        <v>Half</v>
      </c>
      <c r="E45" s="124"/>
      <c r="F45" s="124"/>
      <c r="G45" s="125"/>
      <c r="H45" s="140">
        <v>2850</v>
      </c>
      <c r="I45" s="140"/>
      <c r="J45" s="140"/>
      <c r="K45" s="140"/>
      <c r="L45" s="140">
        <v>580</v>
      </c>
      <c r="M45" s="140"/>
      <c r="N45" s="140"/>
      <c r="O45" s="140"/>
      <c r="P45" s="147">
        <f>$H$45/$L$45</f>
        <v>4.9137931034482758</v>
      </c>
      <c r="Q45" s="147"/>
      <c r="R45" s="31"/>
      <c r="S45" s="31"/>
      <c r="T45" s="31"/>
      <c r="U45" s="31"/>
      <c r="V45" s="31"/>
      <c r="W45" s="31"/>
      <c r="X45" s="31"/>
      <c r="Y45" s="31"/>
      <c r="Z45" s="31"/>
      <c r="AA45" s="31"/>
      <c r="AB45" s="31"/>
      <c r="AC45" s="31"/>
      <c r="AD45" s="31"/>
      <c r="AE45" s="31"/>
      <c r="AF45" s="31"/>
      <c r="AG45" s="31"/>
      <c r="AH45" s="31"/>
      <c r="AI45" s="31"/>
      <c r="AJ45" s="31"/>
      <c r="AK45" s="108" t="str">
        <f>'Variable Capacity unit'!$AK$46</f>
        <v>Minimum</v>
      </c>
      <c r="AL45" s="108"/>
      <c r="AM45" s="108"/>
      <c r="AN45" s="108"/>
      <c r="AO45" s="108"/>
      <c r="AP45" s="129"/>
      <c r="AQ45" s="57"/>
      <c r="AR45" s="101" t="s">
        <v>105</v>
      </c>
      <c r="AS45" s="101"/>
      <c r="AT45" s="101"/>
      <c r="AU45" s="101"/>
      <c r="AV45" s="102"/>
      <c r="AW45" s="57"/>
      <c r="AX45" s="101" t="s">
        <v>106</v>
      </c>
      <c r="AY45" s="101"/>
      <c r="AZ45" s="101"/>
      <c r="BA45" s="101"/>
      <c r="BB45" s="102"/>
      <c r="BC45" s="81">
        <v>1</v>
      </c>
      <c r="BD45" s="33" t="str">
        <f>IF(AND($BC$31=2,$BC$35=2),IF($BC$45=2,"Measure","Default"),"Default")</f>
        <v>Default</v>
      </c>
      <c r="BE45" s="35" t="s">
        <v>127</v>
      </c>
      <c r="BK45" s="50"/>
      <c r="BL45" s="50"/>
      <c r="BM45" s="50"/>
      <c r="BN45" s="50"/>
      <c r="BO45" s="50"/>
      <c r="BP45" s="50"/>
      <c r="CB45" s="63">
        <v>28</v>
      </c>
      <c r="CC45" s="63">
        <f>data!$D49</f>
        <v>42</v>
      </c>
      <c r="CD45" s="63">
        <f>data!$E49</f>
        <v>0</v>
      </c>
      <c r="CE45" s="70">
        <f t="shared" si="0"/>
        <v>8066.666666666667</v>
      </c>
      <c r="CF45" s="71">
        <f t="shared" si="1"/>
        <v>1</v>
      </c>
      <c r="CG45" s="71">
        <f t="shared" si="2"/>
        <v>1</v>
      </c>
      <c r="CH45" s="71">
        <f t="shared" si="3"/>
        <v>0</v>
      </c>
      <c r="CI45" s="71">
        <f t="shared" si="4"/>
        <v>0</v>
      </c>
      <c r="CJ45" s="72">
        <f t="shared" si="5"/>
        <v>4975</v>
      </c>
      <c r="CK45" s="72">
        <f t="shared" si="6"/>
        <v>2408.5190343546892</v>
      </c>
      <c r="CL45" s="72">
        <f t="shared" si="7"/>
        <v>2408.5190343546892</v>
      </c>
      <c r="CM45" s="70">
        <f t="shared" si="8"/>
        <v>0</v>
      </c>
      <c r="CN45" s="72">
        <f t="shared" si="9"/>
        <v>1660</v>
      </c>
      <c r="CO45" s="72">
        <f t="shared" si="10"/>
        <v>698.24215900802324</v>
      </c>
      <c r="CP45" s="72">
        <f t="shared" si="11"/>
        <v>698.24215900802324</v>
      </c>
      <c r="CQ45" s="45">
        <f t="shared" si="12"/>
        <v>2.9969879518072289</v>
      </c>
      <c r="CR45" s="45">
        <f t="shared" si="13"/>
        <v>3.4494036249206399</v>
      </c>
      <c r="CS45" s="45">
        <f t="shared" si="14"/>
        <v>3.4494036249206399</v>
      </c>
      <c r="CT45" s="72">
        <f t="shared" si="15"/>
        <v>0</v>
      </c>
      <c r="CU45" s="72">
        <f t="shared" si="16"/>
        <v>0</v>
      </c>
      <c r="CV45" s="72">
        <f t="shared" si="17"/>
        <v>0</v>
      </c>
      <c r="CW45" s="72">
        <f t="shared" si="18"/>
        <v>1660</v>
      </c>
      <c r="CX45" s="70">
        <f t="shared" si="19"/>
        <v>0</v>
      </c>
    </row>
    <row r="46" spans="1:102" ht="12" customHeight="1">
      <c r="A46" s="31"/>
      <c r="B46" s="31"/>
      <c r="C46" s="31"/>
      <c r="D46" s="123" t="str">
        <f>'Variable Capacity unit'!$D$47</f>
        <v>Minimum</v>
      </c>
      <c r="E46" s="124"/>
      <c r="F46" s="124"/>
      <c r="G46" s="125"/>
      <c r="H46" s="140">
        <v>1650</v>
      </c>
      <c r="I46" s="140"/>
      <c r="J46" s="140"/>
      <c r="K46" s="140"/>
      <c r="L46" s="140">
        <v>290</v>
      </c>
      <c r="M46" s="140"/>
      <c r="N46" s="140"/>
      <c r="O46" s="140"/>
      <c r="P46" s="147">
        <f>$H$46/$L$46</f>
        <v>5.6896551724137927</v>
      </c>
      <c r="Q46" s="108"/>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76"/>
      <c r="AR46" s="76"/>
      <c r="AS46" s="76"/>
      <c r="AT46" s="76"/>
      <c r="AU46" s="76"/>
      <c r="AV46" s="76"/>
      <c r="AW46" s="76"/>
      <c r="AX46" s="76"/>
      <c r="AY46" s="76"/>
      <c r="AZ46" s="87"/>
      <c r="BA46" s="87"/>
      <c r="BB46" s="76"/>
      <c r="BC46" s="33"/>
      <c r="BD46" s="33"/>
      <c r="BE46" s="35" t="s">
        <v>127</v>
      </c>
      <c r="BK46" s="50"/>
      <c r="BL46" s="50"/>
      <c r="BM46" s="50"/>
      <c r="BN46" s="50"/>
      <c r="BO46" s="50"/>
      <c r="BP46" s="50"/>
      <c r="CB46" s="63">
        <v>29</v>
      </c>
      <c r="CC46" s="63">
        <f>data!$D50</f>
        <v>43</v>
      </c>
      <c r="CD46" s="63">
        <f>data!$E50</f>
        <v>0</v>
      </c>
      <c r="CE46" s="70">
        <f t="shared" si="0"/>
        <v>8433.3333333333339</v>
      </c>
      <c r="CF46" s="71">
        <f t="shared" si="1"/>
        <v>1</v>
      </c>
      <c r="CG46" s="71">
        <f t="shared" si="2"/>
        <v>1</v>
      </c>
      <c r="CH46" s="71">
        <f t="shared" si="3"/>
        <v>0</v>
      </c>
      <c r="CI46" s="71">
        <f t="shared" si="4"/>
        <v>0</v>
      </c>
      <c r="CJ46" s="72">
        <f t="shared" si="5"/>
        <v>4900</v>
      </c>
      <c r="CK46" s="72">
        <f t="shared" si="6"/>
        <v>2374.558960074281</v>
      </c>
      <c r="CL46" s="72">
        <f t="shared" si="7"/>
        <v>2374.558960074281</v>
      </c>
      <c r="CM46" s="70">
        <f t="shared" si="8"/>
        <v>0</v>
      </c>
      <c r="CN46" s="72">
        <f t="shared" si="9"/>
        <v>1680</v>
      </c>
      <c r="CO46" s="72">
        <f t="shared" si="10"/>
        <v>707.33770970094804</v>
      </c>
      <c r="CP46" s="72">
        <f t="shared" si="11"/>
        <v>707.33770970094804</v>
      </c>
      <c r="CQ46" s="45">
        <f t="shared" si="12"/>
        <v>2.9166666666666665</v>
      </c>
      <c r="CR46" s="45">
        <f t="shared" si="13"/>
        <v>3.3570371372935983</v>
      </c>
      <c r="CS46" s="45">
        <f t="shared" si="14"/>
        <v>3.3570371372935983</v>
      </c>
      <c r="CT46" s="72">
        <f t="shared" si="15"/>
        <v>0</v>
      </c>
      <c r="CU46" s="72">
        <f t="shared" si="16"/>
        <v>0</v>
      </c>
      <c r="CV46" s="72">
        <f t="shared" si="17"/>
        <v>0</v>
      </c>
      <c r="CW46" s="72">
        <f t="shared" si="18"/>
        <v>1680</v>
      </c>
      <c r="CX46" s="70">
        <f t="shared" si="19"/>
        <v>0</v>
      </c>
    </row>
    <row r="47" spans="1:102" ht="12" customHeight="1">
      <c r="A47" s="31"/>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t="str">
        <f>'Variable Capacity unit'!$AI$49</f>
        <v>(35℃ Low Humidity and cyclic)</v>
      </c>
      <c r="AJ47" s="31"/>
      <c r="AK47" s="31"/>
      <c r="AL47" s="31"/>
      <c r="AM47" s="31"/>
      <c r="AN47" s="31"/>
      <c r="AO47" s="31"/>
      <c r="AP47" s="31"/>
      <c r="AQ47" s="76"/>
      <c r="AR47" s="76"/>
      <c r="AS47" s="76"/>
      <c r="AT47" s="76"/>
      <c r="AU47" s="76"/>
      <c r="AV47" s="76"/>
      <c r="AW47" s="76"/>
      <c r="AX47" s="76"/>
      <c r="AY47" s="76"/>
      <c r="AZ47" s="87"/>
      <c r="BA47" s="87"/>
      <c r="BB47" s="76"/>
      <c r="BC47" s="33"/>
      <c r="BD47" s="33"/>
      <c r="BE47" s="35" t="s">
        <v>127</v>
      </c>
      <c r="BK47" s="50"/>
      <c r="BL47" s="50"/>
      <c r="BM47" s="50"/>
      <c r="BN47" s="50"/>
      <c r="BO47" s="50"/>
      <c r="BP47" s="50"/>
      <c r="CB47" s="63">
        <v>30</v>
      </c>
      <c r="CC47" s="63">
        <f>data!$D51</f>
        <v>44</v>
      </c>
      <c r="CD47" s="63">
        <f>data!$E51</f>
        <v>0</v>
      </c>
      <c r="CE47" s="70">
        <f t="shared" si="0"/>
        <v>8800</v>
      </c>
      <c r="CF47" s="71">
        <f t="shared" si="1"/>
        <v>1</v>
      </c>
      <c r="CG47" s="71">
        <f t="shared" si="2"/>
        <v>1</v>
      </c>
      <c r="CH47" s="71">
        <f t="shared" si="3"/>
        <v>0</v>
      </c>
      <c r="CI47" s="71">
        <f t="shared" si="4"/>
        <v>0</v>
      </c>
      <c r="CJ47" s="72">
        <f t="shared" si="5"/>
        <v>4825</v>
      </c>
      <c r="CK47" s="72">
        <f t="shared" si="6"/>
        <v>2340.5988857938723</v>
      </c>
      <c r="CL47" s="72">
        <f t="shared" si="7"/>
        <v>2340.5988857938723</v>
      </c>
      <c r="CM47" s="70">
        <f t="shared" si="8"/>
        <v>0</v>
      </c>
      <c r="CN47" s="72">
        <f t="shared" si="9"/>
        <v>1700</v>
      </c>
      <c r="CO47" s="72">
        <f t="shared" si="10"/>
        <v>716.43326039387284</v>
      </c>
      <c r="CP47" s="72">
        <f t="shared" si="11"/>
        <v>716.43326039387284</v>
      </c>
      <c r="CQ47" s="45">
        <f t="shared" si="12"/>
        <v>2.8382352941176472</v>
      </c>
      <c r="CR47" s="45">
        <f t="shared" si="13"/>
        <v>3.2670159457799088</v>
      </c>
      <c r="CS47" s="45">
        <f t="shared" si="14"/>
        <v>3.2670159457799088</v>
      </c>
      <c r="CT47" s="72">
        <f t="shared" si="15"/>
        <v>0</v>
      </c>
      <c r="CU47" s="72">
        <f t="shared" si="16"/>
        <v>0</v>
      </c>
      <c r="CV47" s="72">
        <f t="shared" si="17"/>
        <v>0</v>
      </c>
      <c r="CW47" s="72">
        <f t="shared" si="18"/>
        <v>1700</v>
      </c>
      <c r="CX47" s="70">
        <f t="shared" si="19"/>
        <v>0</v>
      </c>
    </row>
    <row r="48" spans="1:102" ht="12" customHeight="1">
      <c r="A48" s="31"/>
      <c r="B48" s="31"/>
      <c r="C48" s="31"/>
      <c r="D48" s="31" t="str">
        <f>'Variable Capacity unit'!$D$49</f>
        <v>Low humidity and Cyclic condition ( 35℃ )</v>
      </c>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108" t="str">
        <f>'Variable Capacity unit'!$AK$50</f>
        <v>Half Dry Coil</v>
      </c>
      <c r="AL48" s="108"/>
      <c r="AM48" s="108"/>
      <c r="AN48" s="108"/>
      <c r="AO48" s="108"/>
      <c r="AP48" s="129"/>
      <c r="AQ48" s="69"/>
      <c r="AR48" s="157" t="s">
        <v>105</v>
      </c>
      <c r="AS48" s="157"/>
      <c r="AT48" s="157"/>
      <c r="AU48" s="157"/>
      <c r="AV48" s="158"/>
      <c r="AW48" s="69"/>
      <c r="AX48" s="157" t="s">
        <v>106</v>
      </c>
      <c r="AY48" s="157"/>
      <c r="AZ48" s="157"/>
      <c r="BA48" s="157"/>
      <c r="BB48" s="158"/>
      <c r="BC48" s="81">
        <v>1</v>
      </c>
      <c r="BD48" s="33" t="str">
        <f>IF(AND($BC$31=2,$BC$35=1),IF($BC$48=2,"Measure","Default"),"Default")</f>
        <v>Default</v>
      </c>
      <c r="BE48" s="35" t="s">
        <v>127</v>
      </c>
      <c r="BK48" s="50"/>
      <c r="BL48" s="50"/>
      <c r="BM48" s="50"/>
      <c r="BN48" s="50"/>
      <c r="BO48" s="50"/>
      <c r="BP48" s="50"/>
      <c r="CB48" s="63">
        <v>31</v>
      </c>
      <c r="CC48" s="63">
        <f>data!$D52</f>
        <v>45</v>
      </c>
      <c r="CD48" s="63">
        <f>data!$E52</f>
        <v>0</v>
      </c>
      <c r="CE48" s="70">
        <f t="shared" si="0"/>
        <v>9166.6666666666661</v>
      </c>
      <c r="CF48" s="71">
        <f t="shared" si="1"/>
        <v>1</v>
      </c>
      <c r="CG48" s="71">
        <f t="shared" si="2"/>
        <v>1</v>
      </c>
      <c r="CH48" s="71">
        <f t="shared" si="3"/>
        <v>0</v>
      </c>
      <c r="CI48" s="71">
        <f t="shared" si="4"/>
        <v>0</v>
      </c>
      <c r="CJ48" s="72">
        <f t="shared" si="5"/>
        <v>4750</v>
      </c>
      <c r="CK48" s="72">
        <f t="shared" si="6"/>
        <v>2306.6388115134637</v>
      </c>
      <c r="CL48" s="72">
        <f t="shared" si="7"/>
        <v>2306.6388115134637</v>
      </c>
      <c r="CM48" s="70">
        <f t="shared" si="8"/>
        <v>0</v>
      </c>
      <c r="CN48" s="72">
        <f t="shared" si="9"/>
        <v>1720</v>
      </c>
      <c r="CO48" s="72">
        <f t="shared" si="10"/>
        <v>725.52881108679776</v>
      </c>
      <c r="CP48" s="72">
        <f t="shared" si="11"/>
        <v>725.52881108679776</v>
      </c>
      <c r="CQ48" s="45">
        <f t="shared" si="12"/>
        <v>2.7616279069767442</v>
      </c>
      <c r="CR48" s="45">
        <f t="shared" si="13"/>
        <v>3.1792518453653962</v>
      </c>
      <c r="CS48" s="45">
        <f t="shared" si="14"/>
        <v>3.1792518453653962</v>
      </c>
      <c r="CT48" s="72">
        <f t="shared" si="15"/>
        <v>0</v>
      </c>
      <c r="CU48" s="72">
        <f t="shared" si="16"/>
        <v>0</v>
      </c>
      <c r="CV48" s="72">
        <f t="shared" si="17"/>
        <v>0</v>
      </c>
      <c r="CW48" s="72">
        <f t="shared" si="18"/>
        <v>1720</v>
      </c>
      <c r="CX48" s="70">
        <f t="shared" si="19"/>
        <v>0</v>
      </c>
    </row>
    <row r="49" spans="1:102" ht="12" customHeight="1">
      <c r="A49" s="31"/>
      <c r="B49" s="31"/>
      <c r="C49" s="31"/>
      <c r="D49" s="31"/>
      <c r="E49" s="31"/>
      <c r="F49" s="31"/>
      <c r="G49" s="31"/>
      <c r="H49" s="154" t="str">
        <f>'Variable Capacity unit'!$H$8</f>
        <v>Capacity [W]</v>
      </c>
      <c r="I49" s="154"/>
      <c r="J49" s="154"/>
      <c r="K49" s="154"/>
      <c r="L49" s="154" t="str">
        <f>'Variable Capacity unit'!$L$8</f>
        <v>Power [W]</v>
      </c>
      <c r="M49" s="154"/>
      <c r="N49" s="154"/>
      <c r="O49" s="154"/>
      <c r="P49" s="103" t="str">
        <f>'Variable Capacity unit'!$P$8</f>
        <v>EER</v>
      </c>
      <c r="Q49" s="104"/>
      <c r="R49" s="31"/>
      <c r="S49" s="31"/>
      <c r="T49" s="31"/>
      <c r="U49" s="31"/>
      <c r="V49" s="31"/>
      <c r="W49" s="31"/>
      <c r="X49" s="31"/>
      <c r="Y49" s="31"/>
      <c r="Z49" s="31"/>
      <c r="AA49" s="31"/>
      <c r="AB49" s="31"/>
      <c r="AC49" s="31"/>
      <c r="AD49" s="31"/>
      <c r="AE49" s="31"/>
      <c r="AF49" s="31"/>
      <c r="AG49" s="31"/>
      <c r="AH49" s="31"/>
      <c r="AI49" s="31"/>
      <c r="AJ49" s="31"/>
      <c r="AK49" s="108" t="str">
        <f>'Variable Capacity unit'!$AK$51</f>
        <v>Half Cyclic</v>
      </c>
      <c r="AL49" s="108"/>
      <c r="AM49" s="108"/>
      <c r="AN49" s="108"/>
      <c r="AO49" s="108"/>
      <c r="AP49" s="129"/>
      <c r="AQ49" s="85"/>
      <c r="AR49" s="159"/>
      <c r="AS49" s="159"/>
      <c r="AT49" s="159"/>
      <c r="AU49" s="159"/>
      <c r="AV49" s="160"/>
      <c r="AW49" s="85"/>
      <c r="AX49" s="159"/>
      <c r="AY49" s="159"/>
      <c r="AZ49" s="159"/>
      <c r="BA49" s="159"/>
      <c r="BB49" s="160"/>
      <c r="BC49" s="33"/>
      <c r="BD49" s="33"/>
      <c r="BE49" s="35" t="s">
        <v>127</v>
      </c>
      <c r="BK49" s="50"/>
      <c r="BL49" s="50"/>
      <c r="BM49" s="50"/>
      <c r="BN49" s="50"/>
      <c r="BO49" s="50"/>
      <c r="BP49" s="50"/>
      <c r="CB49" s="63"/>
      <c r="CC49" s="63"/>
      <c r="CD49" s="63">
        <f>SUM(CD18:CD48)</f>
        <v>1817</v>
      </c>
      <c r="CE49" s="63"/>
      <c r="CF49" s="63"/>
      <c r="CG49" s="63"/>
      <c r="CH49" s="63"/>
      <c r="CI49" s="63"/>
      <c r="CJ49" s="63"/>
      <c r="CK49" s="63"/>
      <c r="CM49" s="62">
        <f>SUM(CM18:CM48)</f>
        <v>4032233.3333333335</v>
      </c>
      <c r="CN49" s="44"/>
      <c r="CO49" s="44"/>
      <c r="CP49" s="44"/>
      <c r="CQ49" s="44"/>
      <c r="CR49" s="44"/>
      <c r="CS49" s="44"/>
      <c r="CT49" s="68"/>
      <c r="CU49" s="68"/>
      <c r="CV49" s="68"/>
      <c r="CX49" s="77">
        <f>SUM(CX18:CX48)</f>
        <v>848904.59584864334</v>
      </c>
    </row>
    <row r="50" spans="1:102" ht="12" customHeight="1">
      <c r="A50" s="31"/>
      <c r="B50" s="31"/>
      <c r="C50" s="31"/>
      <c r="D50" s="108" t="str">
        <f>'Variable Capacity unit'!$D$51</f>
        <v>Half Dry Coil</v>
      </c>
      <c r="E50" s="108"/>
      <c r="F50" s="108"/>
      <c r="G50" s="108"/>
      <c r="H50" s="140">
        <v>3200</v>
      </c>
      <c r="I50" s="140"/>
      <c r="J50" s="140"/>
      <c r="K50" s="140"/>
      <c r="L50" s="140">
        <v>600</v>
      </c>
      <c r="M50" s="140"/>
      <c r="N50" s="140"/>
      <c r="O50" s="140"/>
      <c r="P50" s="147">
        <f>$H$50/$L$50</f>
        <v>5.333333333333333</v>
      </c>
      <c r="Q50" s="147"/>
      <c r="R50" s="31"/>
      <c r="S50" s="31"/>
      <c r="T50" s="31"/>
      <c r="U50" s="31"/>
      <c r="V50" s="31"/>
      <c r="W50" s="31"/>
      <c r="X50" s="31"/>
      <c r="Y50" s="31"/>
      <c r="Z50" s="31"/>
      <c r="AA50" s="31"/>
      <c r="AB50" s="31"/>
      <c r="AC50" s="31"/>
      <c r="AD50" s="31"/>
      <c r="AE50" s="31"/>
      <c r="AF50" s="31"/>
      <c r="AG50" s="31"/>
      <c r="AH50" s="31"/>
      <c r="AI50" s="31"/>
      <c r="AJ50" s="31"/>
      <c r="AK50" s="108" t="str">
        <f>'Variable Capacity unit'!$AK$52</f>
        <v>Min Dry Coil</v>
      </c>
      <c r="AL50" s="108"/>
      <c r="AM50" s="108"/>
      <c r="AN50" s="108"/>
      <c r="AO50" s="108"/>
      <c r="AP50" s="129"/>
      <c r="AQ50" s="69"/>
      <c r="AR50" s="157" t="s">
        <v>102</v>
      </c>
      <c r="AS50" s="157"/>
      <c r="AT50" s="157"/>
      <c r="AU50" s="157"/>
      <c r="AV50" s="158"/>
      <c r="AW50" s="69"/>
      <c r="AX50" s="157" t="s">
        <v>101</v>
      </c>
      <c r="AY50" s="157"/>
      <c r="AZ50" s="157"/>
      <c r="BA50" s="157"/>
      <c r="BB50" s="158"/>
      <c r="BC50" s="81">
        <v>1</v>
      </c>
      <c r="BD50" s="33" t="str">
        <f>IF(AND($BC$31=2,$BC$35=2),IF($BC$50=2,"Measure","Default"),"Default")</f>
        <v>Default</v>
      </c>
      <c r="BE50" s="35" t="s">
        <v>127</v>
      </c>
      <c r="BK50" s="50"/>
      <c r="BL50" s="50"/>
      <c r="BM50" s="50"/>
      <c r="BN50" s="50"/>
      <c r="BO50" s="50"/>
      <c r="BP50" s="50"/>
    </row>
    <row r="51" spans="1:102" ht="12" customHeight="1">
      <c r="A51" s="31"/>
      <c r="B51" s="31"/>
      <c r="C51" s="31"/>
      <c r="D51" s="108" t="str">
        <f>'Variable Capacity unit'!$D$52</f>
        <v>Half Cyclic</v>
      </c>
      <c r="E51" s="108"/>
      <c r="F51" s="108"/>
      <c r="G51" s="108"/>
      <c r="H51" s="140">
        <v>2300</v>
      </c>
      <c r="I51" s="140"/>
      <c r="J51" s="140"/>
      <c r="K51" s="140"/>
      <c r="L51" s="140">
        <v>490</v>
      </c>
      <c r="M51" s="140"/>
      <c r="N51" s="140"/>
      <c r="O51" s="140"/>
      <c r="P51" s="147">
        <f>$H$51/$L$51</f>
        <v>4.6938775510204085</v>
      </c>
      <c r="Q51" s="147"/>
      <c r="R51" s="31"/>
      <c r="S51" s="31"/>
      <c r="T51" s="31"/>
      <c r="U51" s="31"/>
      <c r="V51" s="31"/>
      <c r="W51" s="31"/>
      <c r="X51" s="31"/>
      <c r="Y51" s="31"/>
      <c r="Z51" s="31"/>
      <c r="AA51" s="31"/>
      <c r="AB51" s="31"/>
      <c r="AC51" s="31"/>
      <c r="AD51" s="31"/>
      <c r="AE51" s="31"/>
      <c r="AF51" s="31"/>
      <c r="AG51" s="31"/>
      <c r="AH51" s="31"/>
      <c r="AI51" s="31"/>
      <c r="AJ51" s="31"/>
      <c r="AK51" s="108" t="str">
        <f>'Variable Capacity unit'!$AK$53</f>
        <v>Min Cyclic</v>
      </c>
      <c r="AL51" s="108"/>
      <c r="AM51" s="108"/>
      <c r="AN51" s="108"/>
      <c r="AO51" s="108"/>
      <c r="AP51" s="129"/>
      <c r="AQ51" s="85"/>
      <c r="AR51" s="159"/>
      <c r="AS51" s="159"/>
      <c r="AT51" s="159"/>
      <c r="AU51" s="159"/>
      <c r="AV51" s="160"/>
      <c r="AW51" s="85"/>
      <c r="AX51" s="159"/>
      <c r="AY51" s="159"/>
      <c r="AZ51" s="159"/>
      <c r="BA51" s="159"/>
      <c r="BB51" s="160"/>
      <c r="BC51" s="33"/>
      <c r="BD51" s="33"/>
      <c r="BE51" s="35" t="s">
        <v>127</v>
      </c>
      <c r="BK51" s="50"/>
      <c r="BL51" s="50"/>
      <c r="BM51" s="50"/>
      <c r="BN51" s="50"/>
      <c r="BO51" s="50"/>
      <c r="BP51" s="50"/>
    </row>
    <row r="52" spans="1:102" ht="12" customHeight="1">
      <c r="A52" s="31"/>
      <c r="B52" s="31"/>
      <c r="C52" s="31"/>
      <c r="D52" s="108" t="str">
        <f>'Variable Capacity unit'!$D$53</f>
        <v>Min Dry Coil</v>
      </c>
      <c r="E52" s="108"/>
      <c r="F52" s="108"/>
      <c r="G52" s="108"/>
      <c r="H52" s="140">
        <v>3500</v>
      </c>
      <c r="I52" s="140"/>
      <c r="J52" s="140"/>
      <c r="K52" s="140"/>
      <c r="L52" s="140">
        <v>580</v>
      </c>
      <c r="M52" s="140"/>
      <c r="N52" s="140"/>
      <c r="O52" s="140"/>
      <c r="P52" s="147">
        <f>$H$52/$L$52</f>
        <v>6.0344827586206895</v>
      </c>
      <c r="Q52" s="147"/>
      <c r="R52" s="31"/>
      <c r="S52" s="31"/>
      <c r="T52" s="31"/>
      <c r="U52" s="31"/>
      <c r="V52" s="31"/>
      <c r="W52" s="31"/>
      <c r="X52" s="31"/>
      <c r="Y52" s="31"/>
      <c r="Z52" s="31"/>
      <c r="AA52" s="31"/>
      <c r="AB52" s="31"/>
      <c r="AC52" s="31"/>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76"/>
      <c r="BB52" s="76"/>
      <c r="BC52" s="33"/>
      <c r="BD52" s="33"/>
      <c r="BE52" s="35" t="s">
        <v>127</v>
      </c>
      <c r="BX52" s="88"/>
      <c r="BY52" s="88"/>
    </row>
    <row r="53" spans="1:102" ht="12" customHeight="1">
      <c r="A53" s="31"/>
      <c r="B53" s="31"/>
      <c r="C53" s="31"/>
      <c r="D53" s="108" t="str">
        <f>'Variable Capacity unit'!$D$54</f>
        <v>Min Cyclic</v>
      </c>
      <c r="E53" s="108"/>
      <c r="F53" s="108"/>
      <c r="G53" s="108"/>
      <c r="H53" s="140">
        <v>2500</v>
      </c>
      <c r="I53" s="140"/>
      <c r="J53" s="140"/>
      <c r="K53" s="140"/>
      <c r="L53" s="140">
        <v>500</v>
      </c>
      <c r="M53" s="140"/>
      <c r="N53" s="140"/>
      <c r="O53" s="140"/>
      <c r="P53" s="147">
        <f>$H$53/$L$53</f>
        <v>5</v>
      </c>
      <c r="Q53" s="147"/>
      <c r="R53" s="31"/>
      <c r="S53" s="31"/>
      <c r="T53" s="31"/>
      <c r="U53" s="31"/>
      <c r="V53" s="31"/>
      <c r="W53" s="31"/>
      <c r="X53" s="31"/>
      <c r="Y53" s="31"/>
      <c r="Z53" s="31"/>
      <c r="AA53" s="31"/>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76"/>
      <c r="BB53" s="76"/>
      <c r="BC53" s="33"/>
      <c r="BD53" s="33"/>
      <c r="BE53" s="35" t="s">
        <v>127</v>
      </c>
      <c r="BX53" s="88"/>
      <c r="BY53" s="88"/>
    </row>
    <row r="54" spans="1:102" ht="12" customHeight="1">
      <c r="A54" s="31"/>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76"/>
      <c r="BB54" s="76"/>
      <c r="BC54" s="78"/>
      <c r="BD54" s="78"/>
      <c r="BE54" s="35" t="s">
        <v>127</v>
      </c>
      <c r="BX54" s="88"/>
      <c r="BY54" s="88"/>
    </row>
    <row r="55" spans="1:102" ht="12" customHeight="1">
      <c r="A55" s="31"/>
      <c r="B55" s="31"/>
      <c r="C55" s="31"/>
      <c r="D55" s="31"/>
      <c r="E55" s="31"/>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76"/>
      <c r="BB55" s="76"/>
      <c r="BC55" s="78"/>
      <c r="BD55" s="78"/>
      <c r="BE55" s="35" t="s">
        <v>127</v>
      </c>
      <c r="BX55" s="88"/>
      <c r="BY55" s="88"/>
    </row>
    <row r="57" spans="1:102">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row>
    <row r="58" spans="1:102">
      <c r="Y58" s="34"/>
      <c r="Z58" s="34"/>
      <c r="AA58" s="34"/>
      <c r="AB58" s="34"/>
      <c r="AC58" s="34" t="s">
        <v>44</v>
      </c>
      <c r="AD58" s="34"/>
      <c r="AE58" s="34"/>
      <c r="AF58" s="34"/>
      <c r="AG58" s="34"/>
      <c r="AH58" s="34"/>
      <c r="AI58" s="34"/>
      <c r="AJ58" s="34"/>
      <c r="AK58" s="34"/>
      <c r="AL58" s="34"/>
      <c r="AM58" s="34"/>
      <c r="AN58" s="34"/>
      <c r="AO58" s="34"/>
      <c r="AP58" s="34"/>
      <c r="AQ58" s="34"/>
      <c r="AR58" s="34"/>
      <c r="AS58" s="34"/>
      <c r="AT58" s="34"/>
      <c r="AU58" s="34"/>
      <c r="AV58" s="34"/>
      <c r="AW58" s="34"/>
    </row>
    <row r="59" spans="1:102">
      <c r="Y59" s="34"/>
      <c r="Z59" s="34"/>
      <c r="AA59" s="34"/>
      <c r="AB59" s="34"/>
      <c r="AC59" s="34" t="s">
        <v>49</v>
      </c>
      <c r="AJ59" s="34"/>
      <c r="AK59" s="34"/>
      <c r="AM59" s="34"/>
      <c r="AO59" s="34"/>
      <c r="AP59" s="34"/>
      <c r="AQ59" s="34"/>
      <c r="AR59" s="34"/>
      <c r="AS59" s="34"/>
      <c r="AT59" s="34"/>
      <c r="AU59" s="34"/>
      <c r="AV59" s="34"/>
      <c r="AW59" s="34"/>
    </row>
    <row r="60" spans="1:102">
      <c r="Y60" s="34"/>
      <c r="Z60" s="34"/>
      <c r="AA60" s="34"/>
      <c r="AB60" s="34"/>
      <c r="AC60" s="34" t="s">
        <v>43</v>
      </c>
      <c r="AJ60" s="34"/>
      <c r="AK60" s="34"/>
      <c r="AM60" s="34"/>
      <c r="AO60" s="34"/>
      <c r="AP60" s="34"/>
      <c r="AQ60" s="34"/>
      <c r="AR60" s="34"/>
      <c r="AS60" s="34"/>
      <c r="AT60" s="34"/>
      <c r="AU60" s="34"/>
      <c r="AV60" s="34"/>
      <c r="AW60" s="34"/>
      <c r="CA60" s="28" t="s">
        <v>71</v>
      </c>
      <c r="CF60" s="29" t="str">
        <f>data!$F$7</f>
        <v>CUSTOM</v>
      </c>
      <c r="CL60" s="30"/>
    </row>
    <row r="61" spans="1:102">
      <c r="Y61" s="34"/>
      <c r="Z61" s="34"/>
      <c r="AA61" s="34"/>
      <c r="AB61" s="34"/>
      <c r="AC61" s="34" t="s">
        <v>95</v>
      </c>
      <c r="AE61" s="34"/>
      <c r="AF61" s="34"/>
      <c r="AG61" s="34"/>
      <c r="AH61" s="34"/>
      <c r="AI61" s="34"/>
      <c r="AJ61" s="34"/>
      <c r="AK61" s="34"/>
      <c r="AL61" s="34"/>
      <c r="AM61" s="34"/>
      <c r="AN61" s="34"/>
      <c r="AO61" s="34"/>
      <c r="AP61" s="34"/>
      <c r="AQ61" s="34"/>
      <c r="AR61" s="34"/>
      <c r="AS61" s="34"/>
      <c r="AT61" s="34"/>
      <c r="AU61" s="34"/>
      <c r="AV61" s="34"/>
      <c r="AW61" s="34"/>
      <c r="CA61" s="28"/>
      <c r="CL61" s="30"/>
    </row>
    <row r="62" spans="1:102">
      <c r="Y62" s="34"/>
      <c r="Z62" s="34"/>
      <c r="AA62" s="34"/>
      <c r="AB62" s="34"/>
      <c r="AC62" s="34" t="s">
        <v>44</v>
      </c>
      <c r="AE62" s="34"/>
      <c r="AF62" s="34"/>
      <c r="AG62" s="34"/>
      <c r="AH62" s="34"/>
      <c r="AI62" s="34"/>
      <c r="AJ62" s="34"/>
      <c r="AK62" s="34"/>
      <c r="AL62" s="34"/>
      <c r="AM62" s="34"/>
      <c r="AN62" s="34"/>
      <c r="AO62" s="34"/>
      <c r="AP62" s="34"/>
      <c r="AQ62" s="34"/>
      <c r="AR62" s="34"/>
      <c r="AS62" s="34"/>
      <c r="AT62" s="34"/>
      <c r="AU62" s="34"/>
      <c r="AV62" s="34"/>
      <c r="AW62" s="34"/>
      <c r="CA62" s="28"/>
      <c r="CB62" s="37" t="s">
        <v>239</v>
      </c>
      <c r="CC62" s="38">
        <f>'Multi-stage Capacity unit'!$H$9</f>
        <v>5500</v>
      </c>
      <c r="CD62" s="39"/>
      <c r="CE62" s="40" t="s">
        <v>0</v>
      </c>
      <c r="CF62" s="41">
        <f>$CM$108/$CX$108</f>
        <v>4.6492540503474</v>
      </c>
      <c r="CJ62" s="42"/>
      <c r="CL62" s="43"/>
    </row>
    <row r="63" spans="1:102">
      <c r="Y63" s="34"/>
      <c r="Z63" s="34"/>
      <c r="AA63" s="34"/>
      <c r="AB63" s="34"/>
      <c r="AC63" s="34" t="s">
        <v>45</v>
      </c>
      <c r="AE63" s="34"/>
      <c r="AF63" s="34"/>
      <c r="AG63" s="34"/>
      <c r="AH63" s="34"/>
      <c r="AI63" s="34"/>
      <c r="AJ63" s="34"/>
      <c r="AK63" s="34"/>
      <c r="AL63" s="34"/>
      <c r="AM63" s="34"/>
      <c r="AN63" s="34"/>
      <c r="AO63" s="34"/>
      <c r="AP63" s="34"/>
      <c r="AQ63" s="34"/>
      <c r="AR63" s="34"/>
      <c r="AS63" s="34"/>
      <c r="AT63" s="34"/>
      <c r="AU63" s="34"/>
      <c r="AV63" s="34"/>
      <c r="AW63" s="34"/>
      <c r="CA63" s="28"/>
      <c r="CL63" s="43"/>
    </row>
    <row r="64" spans="1:102" ht="15">
      <c r="Y64" s="34"/>
      <c r="Z64" s="34"/>
      <c r="AA64" s="34"/>
      <c r="AB64" s="34"/>
      <c r="AE64" s="34"/>
      <c r="AF64" s="34"/>
      <c r="AG64" s="34"/>
      <c r="AH64" s="34"/>
      <c r="AI64" s="34"/>
      <c r="AJ64" s="34"/>
      <c r="AK64" s="34"/>
      <c r="AL64" s="34"/>
      <c r="AM64" s="34"/>
      <c r="AN64" s="34"/>
      <c r="AO64" s="34"/>
      <c r="AP64" s="34"/>
      <c r="AQ64" s="34"/>
      <c r="AR64" s="34"/>
      <c r="AS64" s="34"/>
      <c r="AT64" s="34"/>
      <c r="AU64" s="34"/>
      <c r="AV64" s="34"/>
      <c r="AW64" s="34"/>
      <c r="CA64" s="28"/>
      <c r="CC64" s="44" t="s">
        <v>134</v>
      </c>
      <c r="CD64" s="44" t="s">
        <v>206</v>
      </c>
      <c r="CE64" s="44" t="s">
        <v>240</v>
      </c>
      <c r="CG64" s="44" t="s">
        <v>19</v>
      </c>
      <c r="CH64" s="61">
        <f>IF('Multi-stage Capacity unit'!$BD$7="Required test",data!$F$14,IF('Multi-stage Capacity unit'!$BD$11="Not Measure",IF('Multi-stage Capacity unit'!$BD$21="Default",data!$F$14,$CK$68),IF('Multi-stage Capacity unit'!$BD$23="Default",data!$F$14,$CM$68)))</f>
        <v>0.25</v>
      </c>
      <c r="CK64" s="40" t="s">
        <v>79</v>
      </c>
      <c r="CL64" s="40" t="s">
        <v>80</v>
      </c>
      <c r="CM64" s="40" t="s">
        <v>77</v>
      </c>
      <c r="CN64" s="40" t="s">
        <v>78</v>
      </c>
    </row>
    <row r="65" spans="25:102">
      <c r="Y65" s="34"/>
      <c r="Z65" s="34"/>
      <c r="AA65" s="34"/>
      <c r="AB65" s="34"/>
      <c r="AE65" s="34"/>
      <c r="AF65" s="34"/>
      <c r="AG65" s="34"/>
      <c r="AH65" s="34"/>
      <c r="AI65" s="34"/>
      <c r="AJ65" s="34"/>
      <c r="AK65" s="34"/>
      <c r="AL65" s="34"/>
      <c r="AM65" s="34"/>
      <c r="AN65" s="34"/>
      <c r="AO65" s="34"/>
      <c r="AP65" s="34"/>
      <c r="AQ65" s="34"/>
      <c r="AR65" s="34"/>
      <c r="AS65" s="34"/>
      <c r="AT65" s="34"/>
      <c r="AU65" s="34"/>
      <c r="AV65" s="34"/>
      <c r="AW65" s="34"/>
      <c r="CA65" s="28"/>
      <c r="CB65" s="51" t="s">
        <v>18</v>
      </c>
      <c r="CC65" s="52">
        <f>'Multi-stage Capacity unit'!$H$9</f>
        <v>5500</v>
      </c>
      <c r="CD65" s="52">
        <f>IF('Multi-stage Capacity unit'!$BD$7="Required test",$CD$70/$CH$65,IF('Multi-stage Capacity unit'!$BD$14="Default",$CD$70/$CH$65,'Multi-stage Capacity unit'!$H$10))</f>
        <v>2646.2395543175489</v>
      </c>
      <c r="CE65" s="52">
        <f>IF('Multi-stage Capacity unit'!$BD$7="Required test",$CD$65,IF('Multi-stage Capacity unit'!$BD$11="Not Measure",$CD$65,IF('Multi-stage Capacity unit'!$BD$15="Default",$CE$70/$CH$65,'Multi-stage Capacity unit'!$H$11)))</f>
        <v>2646.2395543175489</v>
      </c>
      <c r="CG65" s="53" t="s">
        <v>178</v>
      </c>
      <c r="CH65" s="40">
        <f>data!$F$15</f>
        <v>1.077</v>
      </c>
      <c r="CJ65" s="83" t="s">
        <v>18</v>
      </c>
      <c r="CK65" s="40">
        <f>'Multi-stage Capacity unit'!$H$22</f>
        <v>2500</v>
      </c>
      <c r="CL65" s="40">
        <f>'Multi-stage Capacity unit'!$H$21</f>
        <v>3300</v>
      </c>
      <c r="CM65" s="40">
        <f>'Multi-stage Capacity unit'!$H$24</f>
        <v>2600</v>
      </c>
      <c r="CN65" s="40">
        <f>'Multi-stage Capacity unit'!$H$23</f>
        <v>3500</v>
      </c>
    </row>
    <row r="66" spans="25:102">
      <c r="Y66" s="34"/>
      <c r="Z66" s="34"/>
      <c r="AA66" s="34"/>
      <c r="AB66" s="34"/>
      <c r="AE66" s="34"/>
      <c r="AF66" s="34"/>
      <c r="AG66" s="34"/>
      <c r="AH66" s="34"/>
      <c r="AI66" s="34"/>
      <c r="AJ66" s="34"/>
      <c r="AK66" s="34"/>
      <c r="AL66" s="34"/>
      <c r="AM66" s="34"/>
      <c r="AN66" s="34"/>
      <c r="AO66" s="34"/>
      <c r="AP66" s="34"/>
      <c r="AQ66" s="34"/>
      <c r="AR66" s="34"/>
      <c r="AS66" s="34"/>
      <c r="AT66" s="34"/>
      <c r="AU66" s="34"/>
      <c r="AV66" s="34"/>
      <c r="AW66" s="34"/>
      <c r="CA66" s="28"/>
      <c r="CB66" s="51" t="s">
        <v>1</v>
      </c>
      <c r="CC66" s="52">
        <f>'Multi-stage Capacity unit'!$L$9</f>
        <v>1520</v>
      </c>
      <c r="CD66" s="52">
        <f>IF('Multi-stage Capacity unit'!$BD$7="Required test",$CD$71/$CH$66,IF('Multi-stage Capacity unit'!$BD$14="Default",$CD$71/$CH$66,'Multi-stage Capacity unit'!$L$10))</f>
        <v>634.57330415754916</v>
      </c>
      <c r="CE66" s="52">
        <f>IF('Multi-stage Capacity unit'!$BD$7="Required test",$CD$66,IF('Multi-stage Capacity unit'!$BD$11="Not Measure",$CD$66,IF('Multi-stage Capacity unit'!$BD$15="Default",$CE$71/$CH$66,'Multi-stage Capacity unit'!$L$11)))</f>
        <v>634.57330415754916</v>
      </c>
      <c r="CG66" s="53" t="s">
        <v>241</v>
      </c>
      <c r="CH66" s="40">
        <f>data!$F$16</f>
        <v>0.91400000000000003</v>
      </c>
      <c r="CJ66" s="83" t="s">
        <v>1</v>
      </c>
      <c r="CK66" s="40">
        <f>'Multi-stage Capacity unit'!$L$22</f>
        <v>480</v>
      </c>
      <c r="CL66" s="40">
        <f>'Multi-stage Capacity unit'!$L$21</f>
        <v>580</v>
      </c>
      <c r="CM66" s="40">
        <f>'Multi-stage Capacity unit'!$L$24</f>
        <v>500</v>
      </c>
      <c r="CN66" s="40">
        <f>'Multi-stage Capacity unit'!$L$23</f>
        <v>600</v>
      </c>
    </row>
    <row r="67" spans="25:102" ht="15">
      <c r="AE67" s="34"/>
      <c r="AF67" s="34"/>
      <c r="AG67" s="34"/>
      <c r="AH67" s="34"/>
      <c r="CA67" s="28"/>
      <c r="CB67" s="44" t="s">
        <v>242</v>
      </c>
      <c r="CC67" s="61">
        <f>$CC$65/$CC$66</f>
        <v>3.6184210526315788</v>
      </c>
      <c r="CD67" s="61">
        <f>$CD$65/$CD$66</f>
        <v>4.1701085390452413</v>
      </c>
      <c r="CE67" s="61">
        <f>$CE$65/$CE$66</f>
        <v>4.1701085390452413</v>
      </c>
      <c r="CG67" s="44" t="s">
        <v>146</v>
      </c>
      <c r="CH67" s="44">
        <f>data!$F$11</f>
        <v>20</v>
      </c>
      <c r="CJ67" s="83" t="s">
        <v>203</v>
      </c>
      <c r="CK67" s="41">
        <f>$CK$65/$CK$66</f>
        <v>5.208333333333333</v>
      </c>
      <c r="CL67" s="41">
        <f>$CL$65/$CL$66</f>
        <v>5.6896551724137927</v>
      </c>
      <c r="CM67" s="41">
        <f>$CM$65/$CM$66</f>
        <v>5.2</v>
      </c>
      <c r="CN67" s="41">
        <f>$CN$65/$CN$66</f>
        <v>5.833333333333333</v>
      </c>
    </row>
    <row r="68" spans="25:102" ht="15">
      <c r="AE68" s="34"/>
      <c r="AF68" s="34"/>
      <c r="AG68" s="34"/>
      <c r="AH68" s="34"/>
      <c r="CA68" s="28"/>
      <c r="CB68" s="44"/>
      <c r="CC68" s="44"/>
      <c r="CD68" s="44"/>
      <c r="CE68" s="63"/>
      <c r="CG68" s="44" t="s">
        <v>243</v>
      </c>
      <c r="CH68" s="44">
        <f>data!$F$12</f>
        <v>35</v>
      </c>
      <c r="CJ68" s="40" t="s">
        <v>76</v>
      </c>
      <c r="CK68" s="150">
        <f>(1-($CK$67/$CL$67))/(1-($CK$65/$CL$65))</f>
        <v>0.34895833333333315</v>
      </c>
      <c r="CL68" s="150"/>
      <c r="CM68" s="150">
        <f>(1-($CM$67/$CN$67))/(1-($CM$65/$CN$65))</f>
        <v>0.42222222222222217</v>
      </c>
      <c r="CN68" s="150"/>
    </row>
    <row r="69" spans="25:102" ht="15">
      <c r="AE69" s="34"/>
      <c r="AF69" s="34"/>
      <c r="AG69" s="34"/>
      <c r="AH69" s="34"/>
      <c r="CA69" s="28"/>
      <c r="CB69" s="44"/>
      <c r="CC69" s="44" t="s">
        <v>244</v>
      </c>
      <c r="CD69" s="44" t="s">
        <v>213</v>
      </c>
      <c r="CE69" s="44" t="s">
        <v>245</v>
      </c>
      <c r="CM69" s="44"/>
    </row>
    <row r="70" spans="25:102">
      <c r="AE70" s="34"/>
      <c r="AF70" s="34"/>
      <c r="AG70" s="34"/>
      <c r="AH70" s="34"/>
      <c r="CA70" s="28"/>
      <c r="CB70" s="51" t="s">
        <v>18</v>
      </c>
      <c r="CC70" s="52">
        <f>'Multi-stage Capacity unit'!$H$15</f>
        <v>5950</v>
      </c>
      <c r="CD70" s="52">
        <f>'Multi-stage Capacity unit'!$H$16</f>
        <v>2850</v>
      </c>
      <c r="CE70" s="52">
        <f>IF('Multi-stage Capacity unit'!$BD$7="Required test",$CD$70,IF('Multi-stage Capacity unit'!$BD$11="Not Measure",$CD$70,IF('Multi-stage Capacity unit'!$BD$18="Default",$CD$70,'Multi-stage Capacity unit'!$H$17)))</f>
        <v>2850</v>
      </c>
    </row>
    <row r="71" spans="25:102">
      <c r="AE71" s="34"/>
      <c r="AF71" s="34"/>
      <c r="AG71" s="34"/>
      <c r="AH71" s="34"/>
      <c r="CA71" s="28"/>
      <c r="CB71" s="51" t="s">
        <v>1</v>
      </c>
      <c r="CC71" s="52">
        <f>'Multi-stage Capacity unit'!$L$15</f>
        <v>1400</v>
      </c>
      <c r="CD71" s="52">
        <f>'Multi-stage Capacity unit'!$L$16</f>
        <v>580</v>
      </c>
      <c r="CE71" s="52">
        <f>IF('Multi-stage Capacity unit'!$BD$7="Required test",$CD$71,IF('Multi-stage Capacity unit'!$BD$11="Not Measure",$CD$71,IF('Multi-stage Capacity unit'!BD$18="Default",$CD$71,'Multi-stage Capacity unit'!$L$17)))</f>
        <v>580</v>
      </c>
    </row>
    <row r="72" spans="25:102">
      <c r="AE72" s="34"/>
      <c r="AF72" s="34"/>
      <c r="AG72" s="34"/>
      <c r="AH72" s="34"/>
      <c r="CA72" s="28"/>
      <c r="CB72" s="44" t="s">
        <v>152</v>
      </c>
      <c r="CC72" s="61">
        <f>$CC$70/$CC$71</f>
        <v>4.25</v>
      </c>
      <c r="CD72" s="61">
        <f>$CD$70/$CD$71</f>
        <v>4.9137931034482758</v>
      </c>
      <c r="CE72" s="61">
        <f>$CE$70/$CE$71</f>
        <v>4.9137931034482758</v>
      </c>
    </row>
    <row r="73" spans="25:102">
      <c r="AE73" s="34"/>
      <c r="AF73" s="34"/>
      <c r="AG73" s="34"/>
      <c r="AH73" s="34"/>
      <c r="CA73" s="28"/>
      <c r="CB73" s="44"/>
      <c r="CC73" s="44"/>
      <c r="CD73" s="44"/>
      <c r="CE73" s="44"/>
    </row>
    <row r="74" spans="25:102">
      <c r="AE74" s="34"/>
      <c r="AF74" s="34"/>
      <c r="AG74" s="34"/>
      <c r="AH74" s="34"/>
      <c r="CA74" s="28"/>
      <c r="CB74" s="97" t="s">
        <v>5</v>
      </c>
      <c r="CC74" s="98" t="s">
        <v>7</v>
      </c>
      <c r="CD74" s="97" t="s">
        <v>8</v>
      </c>
      <c r="CE74" s="66" t="s">
        <v>9</v>
      </c>
      <c r="CF74" s="66" t="s">
        <v>10</v>
      </c>
      <c r="CG74" s="99" t="s">
        <v>20</v>
      </c>
      <c r="CH74" s="99"/>
      <c r="CI74" s="99"/>
      <c r="CJ74" s="99" t="s">
        <v>11</v>
      </c>
      <c r="CK74" s="99"/>
      <c r="CL74" s="99"/>
      <c r="CM74" s="67" t="s">
        <v>2</v>
      </c>
      <c r="CN74" s="99" t="s">
        <v>13</v>
      </c>
      <c r="CO74" s="99"/>
      <c r="CP74" s="99"/>
      <c r="CQ74" s="99" t="s">
        <v>16</v>
      </c>
      <c r="CR74" s="99"/>
      <c r="CS74" s="99"/>
      <c r="CT74" s="99" t="s">
        <v>17</v>
      </c>
      <c r="CU74" s="99"/>
      <c r="CV74" s="99"/>
      <c r="CW74" s="99"/>
      <c r="CX74" s="67" t="s">
        <v>3</v>
      </c>
    </row>
    <row r="75" spans="25:102">
      <c r="AA75" s="34"/>
      <c r="AB75" s="34"/>
      <c r="AE75" s="34"/>
      <c r="AF75" s="34"/>
      <c r="AG75" s="34"/>
      <c r="AH75" s="34"/>
      <c r="AI75" s="34"/>
      <c r="AJ75" s="34"/>
      <c r="AK75" s="34"/>
      <c r="AL75" s="34"/>
      <c r="AM75" s="34"/>
      <c r="AN75" s="34"/>
      <c r="CB75" s="97"/>
      <c r="CC75" s="98"/>
      <c r="CD75" s="97"/>
      <c r="CE75" s="67" t="s">
        <v>246</v>
      </c>
      <c r="CF75" s="96" t="s">
        <v>247</v>
      </c>
      <c r="CG75" s="96" t="s">
        <v>218</v>
      </c>
      <c r="CH75" s="96" t="s">
        <v>219</v>
      </c>
      <c r="CI75" s="96" t="s">
        <v>248</v>
      </c>
      <c r="CJ75" s="68" t="s">
        <v>4</v>
      </c>
      <c r="CK75" s="68" t="s">
        <v>14</v>
      </c>
      <c r="CL75" s="68" t="s">
        <v>12</v>
      </c>
      <c r="CM75" s="96" t="s">
        <v>195</v>
      </c>
      <c r="CN75" s="68" t="s">
        <v>4</v>
      </c>
      <c r="CO75" s="68" t="s">
        <v>14</v>
      </c>
      <c r="CP75" s="68" t="s">
        <v>12</v>
      </c>
      <c r="CQ75" s="68" t="s">
        <v>4</v>
      </c>
      <c r="CR75" s="68" t="s">
        <v>14</v>
      </c>
      <c r="CS75" s="68" t="s">
        <v>12</v>
      </c>
      <c r="CT75" s="68" t="s">
        <v>249</v>
      </c>
      <c r="CU75" s="68" t="s">
        <v>250</v>
      </c>
      <c r="CV75" s="68" t="s">
        <v>223</v>
      </c>
      <c r="CW75" s="68" t="s">
        <v>84</v>
      </c>
      <c r="CX75" s="96" t="s">
        <v>251</v>
      </c>
    </row>
    <row r="76" spans="25:102" ht="15">
      <c r="AA76" s="34"/>
      <c r="AB76" s="34"/>
      <c r="AE76" s="34"/>
      <c r="AF76" s="34"/>
      <c r="AG76" s="34"/>
      <c r="AH76" s="34"/>
      <c r="AI76" s="34"/>
      <c r="AJ76" s="34"/>
      <c r="AK76" s="34"/>
      <c r="AL76" s="34"/>
      <c r="AM76" s="34"/>
      <c r="AN76" s="34"/>
      <c r="CB76" s="63" t="s">
        <v>6</v>
      </c>
      <c r="CC76" s="63" t="s">
        <v>252</v>
      </c>
      <c r="CD76" s="63" t="s">
        <v>226</v>
      </c>
      <c r="CE76" s="68" t="s">
        <v>15</v>
      </c>
      <c r="CF76" s="99"/>
      <c r="CG76" s="99"/>
      <c r="CH76" s="99"/>
      <c r="CI76" s="99"/>
      <c r="CJ76" s="67" t="s">
        <v>253</v>
      </c>
      <c r="CK76" s="67" t="s">
        <v>254</v>
      </c>
      <c r="CL76" s="67" t="s">
        <v>255</v>
      </c>
      <c r="CM76" s="96"/>
      <c r="CN76" s="67" t="s">
        <v>230</v>
      </c>
      <c r="CO76" s="67" t="s">
        <v>256</v>
      </c>
      <c r="CP76" s="67" t="s">
        <v>257</v>
      </c>
      <c r="CQ76" s="67" t="s">
        <v>258</v>
      </c>
      <c r="CR76" s="67" t="s">
        <v>259</v>
      </c>
      <c r="CS76" s="67" t="s">
        <v>260</v>
      </c>
      <c r="CT76" s="67" t="s">
        <v>235</v>
      </c>
      <c r="CU76" s="67" t="s">
        <v>236</v>
      </c>
      <c r="CV76" s="67" t="s">
        <v>261</v>
      </c>
      <c r="CW76" s="67" t="s">
        <v>238</v>
      </c>
      <c r="CX76" s="96"/>
    </row>
    <row r="77" spans="25:102">
      <c r="AA77" s="34"/>
      <c r="AB77" s="34"/>
      <c r="AE77" s="34"/>
      <c r="AF77" s="34"/>
      <c r="AG77" s="34"/>
      <c r="AH77" s="34"/>
      <c r="AI77" s="34"/>
      <c r="AJ77" s="34"/>
      <c r="AK77" s="34"/>
      <c r="AL77" s="34"/>
      <c r="AM77" s="34"/>
      <c r="AN77" s="34"/>
      <c r="CB77" s="63">
        <v>1</v>
      </c>
      <c r="CC77" s="63">
        <f>data!$F22</f>
        <v>15</v>
      </c>
      <c r="CD77" s="63">
        <f>data!$G22</f>
        <v>0</v>
      </c>
      <c r="CE77" s="70">
        <f t="shared" ref="CE77:CE107" si="20">IF($CC$62*($CC77-$CH$67)/($CH$68-$CH$67)&lt;0,0,$CC$62*($CC77-$CH$67)/($CH$68-$CH$67))</f>
        <v>0</v>
      </c>
      <c r="CF77" s="71">
        <f t="shared" ref="CF77:CF107" si="21">1-$CH$64*(1-$CG77)</f>
        <v>0.75</v>
      </c>
      <c r="CG77" s="71">
        <f t="shared" ref="CG77:CG107" si="22">IF($CE77&lt;$CL77,$CE77/$CL77,1)</f>
        <v>0</v>
      </c>
      <c r="CH77" s="71">
        <f t="shared" ref="CH77:CH107" si="23">IF($CK77-$CL77=0,0,IF(($CK77-$CE77)/($CK77-$CL77)&gt;1,1,IF(($CK77-$CE77)/($CK77-$CL77)&lt;0,0,($CK77-$CE77)/($CK77-$CL77))))</f>
        <v>0</v>
      </c>
      <c r="CI77" s="71">
        <f t="shared" ref="CI77:CI107" si="24">IF(($CJ77-$CE77)/($CJ77-$CK77)&gt;1,1,IF(($CJ77-$CE77)/($CJ77-$CK77)&lt;0,0,($CJ77-$CE77)/($CJ77-$CK77)))</f>
        <v>1</v>
      </c>
      <c r="CJ77" s="72">
        <f t="shared" ref="CJ77:CJ107" si="25">$CC$65+($CC$70-$CC$65)/(35-29)*(35-$CC77)</f>
        <v>7000</v>
      </c>
      <c r="CK77" s="72">
        <f t="shared" ref="CK77:CK107" si="26">$CD$65+($CD$70-$CD$65)/(35-29)*(35-$CC77)</f>
        <v>3325.4410399257195</v>
      </c>
      <c r="CL77" s="72">
        <f t="shared" ref="CL77:CL107" si="27">$CE$65+($CE$70-$CE$65)/(35-29)*(35-$CC77)</f>
        <v>3325.4410399257195</v>
      </c>
      <c r="CM77" s="70">
        <f t="shared" ref="CM77:CM107" si="28">IF($CE77&lt;$CJ77,$CE77*$CD77,$CJ77*$CD77)</f>
        <v>0</v>
      </c>
      <c r="CN77" s="72">
        <f t="shared" ref="CN77:CN107" si="29">$CC$66+($CC$71-$CC$66)/(35-29)*(35-$CC77)</f>
        <v>1120</v>
      </c>
      <c r="CO77" s="72">
        <f t="shared" ref="CO77:CO107" si="30">$CD$66+($CD$71-$CD$66)/(35-29)*(35-$CC77)</f>
        <v>452.66229029905196</v>
      </c>
      <c r="CP77" s="72">
        <f t="shared" ref="CP77:CP107" si="31">$CE$66+($CE$71-$CE$66)/(35-29)*(35-$CC77)</f>
        <v>452.66229029905196</v>
      </c>
      <c r="CQ77" s="45">
        <f t="shared" ref="CQ77:CQ107" si="32">$CJ77/$CN77</f>
        <v>6.25</v>
      </c>
      <c r="CR77" s="45">
        <f t="shared" ref="CR77:CR107" si="33">$CK77/$CO77</f>
        <v>7.3464061645796965</v>
      </c>
      <c r="CS77" s="45">
        <f t="shared" ref="CS77:CS107" si="34">$CL77/$CP77</f>
        <v>7.3464061645796965</v>
      </c>
      <c r="CT77" s="72">
        <f t="shared" ref="CT77:CT107" si="35">IF($CE77&lt;=$CL77,$CG77*$CP77/$CF77,0)</f>
        <v>0</v>
      </c>
      <c r="CU77" s="72">
        <f t="shared" ref="CU77:CU107" si="36">IF($CL77&lt;$CE77,IF($CE77&lt;=$CK77,$CH77*$CP77+(1-$CH77)*$CO77,0),0)</f>
        <v>0</v>
      </c>
      <c r="CV77" s="72">
        <f t="shared" ref="CV77:CV107" si="37">IF($CK77&lt;$CE77,IF($CE77&lt;=$CJ77,$CI77*$CO77+(1-$CI77)*$CN77,0),0)</f>
        <v>0</v>
      </c>
      <c r="CW77" s="72">
        <f t="shared" ref="CW77:CW107" si="38">IF($CE77&gt;$CJ77,$CN77,0)</f>
        <v>0</v>
      </c>
      <c r="CX77" s="70">
        <f t="shared" ref="CX77:CX107" si="39">IF($CF77=0,0,$CT77*$CD77+$CU77*$CD77+$CV77*$CD77+$CW77*$CD77)</f>
        <v>0</v>
      </c>
    </row>
    <row r="78" spans="25:102">
      <c r="AA78" s="34"/>
      <c r="AB78" s="34"/>
      <c r="AE78" s="34"/>
      <c r="AF78" s="34"/>
      <c r="AG78" s="34"/>
      <c r="AH78" s="34"/>
      <c r="AI78" s="34"/>
      <c r="AJ78" s="34"/>
      <c r="AK78" s="34"/>
      <c r="AL78" s="34"/>
      <c r="AM78" s="34"/>
      <c r="AN78" s="34"/>
      <c r="CB78" s="63">
        <v>2</v>
      </c>
      <c r="CC78" s="63">
        <f>data!$F23</f>
        <v>16</v>
      </c>
      <c r="CD78" s="63">
        <f>data!$G23</f>
        <v>0</v>
      </c>
      <c r="CE78" s="70">
        <f t="shared" si="20"/>
        <v>0</v>
      </c>
      <c r="CF78" s="71">
        <f t="shared" si="21"/>
        <v>0.75</v>
      </c>
      <c r="CG78" s="71">
        <f t="shared" si="22"/>
        <v>0</v>
      </c>
      <c r="CH78" s="71">
        <f t="shared" si="23"/>
        <v>0</v>
      </c>
      <c r="CI78" s="71">
        <f t="shared" si="24"/>
        <v>1</v>
      </c>
      <c r="CJ78" s="72">
        <f t="shared" si="25"/>
        <v>6925</v>
      </c>
      <c r="CK78" s="72">
        <f t="shared" si="26"/>
        <v>3291.4809656453108</v>
      </c>
      <c r="CL78" s="72">
        <f t="shared" si="27"/>
        <v>3291.4809656453108</v>
      </c>
      <c r="CM78" s="70">
        <f t="shared" si="28"/>
        <v>0</v>
      </c>
      <c r="CN78" s="72">
        <f t="shared" si="29"/>
        <v>1140</v>
      </c>
      <c r="CO78" s="72">
        <f t="shared" si="30"/>
        <v>461.75784099197682</v>
      </c>
      <c r="CP78" s="72">
        <f t="shared" si="31"/>
        <v>461.75784099197682</v>
      </c>
      <c r="CQ78" s="45">
        <f t="shared" si="32"/>
        <v>6.0745614035087723</v>
      </c>
      <c r="CR78" s="45">
        <f t="shared" si="33"/>
        <v>7.1281539227885062</v>
      </c>
      <c r="CS78" s="45">
        <f t="shared" si="34"/>
        <v>7.1281539227885062</v>
      </c>
      <c r="CT78" s="72">
        <f t="shared" si="35"/>
        <v>0</v>
      </c>
      <c r="CU78" s="72">
        <f t="shared" si="36"/>
        <v>0</v>
      </c>
      <c r="CV78" s="72">
        <f t="shared" si="37"/>
        <v>0</v>
      </c>
      <c r="CW78" s="72">
        <f t="shared" si="38"/>
        <v>0</v>
      </c>
      <c r="CX78" s="70">
        <f t="shared" si="39"/>
        <v>0</v>
      </c>
    </row>
    <row r="79" spans="25:102">
      <c r="AA79" s="34"/>
      <c r="AB79" s="34"/>
      <c r="AE79" s="34"/>
      <c r="AF79" s="34"/>
      <c r="AG79" s="34"/>
      <c r="AH79" s="34"/>
      <c r="AI79" s="34"/>
      <c r="AJ79" s="34"/>
      <c r="AK79" s="34"/>
      <c r="AL79" s="34"/>
      <c r="AM79" s="34"/>
      <c r="AN79" s="34"/>
      <c r="CB79" s="63">
        <v>3</v>
      </c>
      <c r="CC79" s="63">
        <f>data!$F24</f>
        <v>17</v>
      </c>
      <c r="CD79" s="63">
        <f>data!$G24</f>
        <v>0</v>
      </c>
      <c r="CE79" s="70">
        <f t="shared" si="20"/>
        <v>0</v>
      </c>
      <c r="CF79" s="71">
        <f t="shared" si="21"/>
        <v>0.75</v>
      </c>
      <c r="CG79" s="71">
        <f t="shared" si="22"/>
        <v>0</v>
      </c>
      <c r="CH79" s="71">
        <f t="shared" si="23"/>
        <v>0</v>
      </c>
      <c r="CI79" s="71">
        <f t="shared" si="24"/>
        <v>1</v>
      </c>
      <c r="CJ79" s="72">
        <f t="shared" si="25"/>
        <v>6850</v>
      </c>
      <c r="CK79" s="72">
        <f t="shared" si="26"/>
        <v>3257.5208913649021</v>
      </c>
      <c r="CL79" s="72">
        <f t="shared" si="27"/>
        <v>3257.5208913649021</v>
      </c>
      <c r="CM79" s="70">
        <f t="shared" si="28"/>
        <v>0</v>
      </c>
      <c r="CN79" s="72">
        <f t="shared" si="29"/>
        <v>1160</v>
      </c>
      <c r="CO79" s="72">
        <f t="shared" si="30"/>
        <v>470.85339168490168</v>
      </c>
      <c r="CP79" s="72">
        <f t="shared" si="31"/>
        <v>470.85339168490168</v>
      </c>
      <c r="CQ79" s="45">
        <f t="shared" si="32"/>
        <v>5.9051724137931032</v>
      </c>
      <c r="CR79" s="45">
        <f t="shared" si="33"/>
        <v>6.9183337083082064</v>
      </c>
      <c r="CS79" s="45">
        <f t="shared" si="34"/>
        <v>6.9183337083082064</v>
      </c>
      <c r="CT79" s="72">
        <f t="shared" si="35"/>
        <v>0</v>
      </c>
      <c r="CU79" s="72">
        <f t="shared" si="36"/>
        <v>0</v>
      </c>
      <c r="CV79" s="72">
        <f t="shared" si="37"/>
        <v>0</v>
      </c>
      <c r="CW79" s="72">
        <f t="shared" si="38"/>
        <v>0</v>
      </c>
      <c r="CX79" s="70">
        <f t="shared" si="39"/>
        <v>0</v>
      </c>
    </row>
    <row r="80" spans="25:102">
      <c r="AA80" s="34"/>
      <c r="AB80" s="34"/>
      <c r="AE80" s="34"/>
      <c r="AF80" s="34"/>
      <c r="AG80" s="34"/>
      <c r="AH80" s="34"/>
      <c r="AI80" s="34"/>
      <c r="AJ80" s="34"/>
      <c r="AK80" s="34"/>
      <c r="AL80" s="34"/>
      <c r="AM80" s="34"/>
      <c r="AN80" s="34"/>
      <c r="CB80" s="63">
        <v>4</v>
      </c>
      <c r="CC80" s="63">
        <f>data!$F25</f>
        <v>18</v>
      </c>
      <c r="CD80" s="63">
        <f>data!$G25</f>
        <v>0</v>
      </c>
      <c r="CE80" s="70">
        <f t="shared" si="20"/>
        <v>0</v>
      </c>
      <c r="CF80" s="71">
        <f t="shared" si="21"/>
        <v>0.75</v>
      </c>
      <c r="CG80" s="71">
        <f t="shared" si="22"/>
        <v>0</v>
      </c>
      <c r="CH80" s="71">
        <f t="shared" si="23"/>
        <v>0</v>
      </c>
      <c r="CI80" s="71">
        <f t="shared" si="24"/>
        <v>1</v>
      </c>
      <c r="CJ80" s="72">
        <f t="shared" si="25"/>
        <v>6775</v>
      </c>
      <c r="CK80" s="72">
        <f t="shared" si="26"/>
        <v>3223.5608170844935</v>
      </c>
      <c r="CL80" s="72">
        <f t="shared" si="27"/>
        <v>3223.5608170844935</v>
      </c>
      <c r="CM80" s="70">
        <f t="shared" si="28"/>
        <v>0</v>
      </c>
      <c r="CN80" s="72">
        <f t="shared" si="29"/>
        <v>1180</v>
      </c>
      <c r="CO80" s="72">
        <f t="shared" si="30"/>
        <v>479.94894237782654</v>
      </c>
      <c r="CP80" s="72">
        <f t="shared" si="31"/>
        <v>479.94894237782654</v>
      </c>
      <c r="CQ80" s="45">
        <f t="shared" si="32"/>
        <v>5.7415254237288131</v>
      </c>
      <c r="CR80" s="45">
        <f t="shared" si="33"/>
        <v>6.7164661330722017</v>
      </c>
      <c r="CS80" s="45">
        <f t="shared" si="34"/>
        <v>6.7164661330722017</v>
      </c>
      <c r="CT80" s="72">
        <f t="shared" si="35"/>
        <v>0</v>
      </c>
      <c r="CU80" s="72">
        <f t="shared" si="36"/>
        <v>0</v>
      </c>
      <c r="CV80" s="72">
        <f t="shared" si="37"/>
        <v>0</v>
      </c>
      <c r="CW80" s="72">
        <f t="shared" si="38"/>
        <v>0</v>
      </c>
      <c r="CX80" s="70">
        <f t="shared" si="39"/>
        <v>0</v>
      </c>
    </row>
    <row r="81" spans="27:102">
      <c r="AA81" s="34"/>
      <c r="AB81" s="34"/>
      <c r="AE81" s="34"/>
      <c r="AF81" s="34"/>
      <c r="AG81" s="34"/>
      <c r="AH81" s="34"/>
      <c r="AI81" s="34"/>
      <c r="AJ81" s="34"/>
      <c r="AK81" s="34"/>
      <c r="AL81" s="34"/>
      <c r="AM81" s="34"/>
      <c r="AN81" s="34"/>
      <c r="CB81" s="63">
        <v>5</v>
      </c>
      <c r="CC81" s="63">
        <f>data!$F26</f>
        <v>19</v>
      </c>
      <c r="CD81" s="63">
        <f>data!$G26</f>
        <v>0</v>
      </c>
      <c r="CE81" s="70">
        <f t="shared" si="20"/>
        <v>0</v>
      </c>
      <c r="CF81" s="71">
        <f t="shared" si="21"/>
        <v>0.75</v>
      </c>
      <c r="CG81" s="71">
        <f t="shared" si="22"/>
        <v>0</v>
      </c>
      <c r="CH81" s="71">
        <f t="shared" si="23"/>
        <v>0</v>
      </c>
      <c r="CI81" s="71">
        <f t="shared" si="24"/>
        <v>1</v>
      </c>
      <c r="CJ81" s="72">
        <f t="shared" si="25"/>
        <v>6700</v>
      </c>
      <c r="CK81" s="72">
        <f t="shared" si="26"/>
        <v>3189.6007428040853</v>
      </c>
      <c r="CL81" s="72">
        <f t="shared" si="27"/>
        <v>3189.6007428040853</v>
      </c>
      <c r="CM81" s="70">
        <f t="shared" si="28"/>
        <v>0</v>
      </c>
      <c r="CN81" s="72">
        <f t="shared" si="29"/>
        <v>1200</v>
      </c>
      <c r="CO81" s="72">
        <f t="shared" si="30"/>
        <v>489.0444930707514</v>
      </c>
      <c r="CP81" s="72">
        <f t="shared" si="31"/>
        <v>489.0444930707514</v>
      </c>
      <c r="CQ81" s="45">
        <f t="shared" si="32"/>
        <v>5.583333333333333</v>
      </c>
      <c r="CR81" s="45">
        <f t="shared" si="33"/>
        <v>6.5221074728320003</v>
      </c>
      <c r="CS81" s="45">
        <f t="shared" si="34"/>
        <v>6.5221074728320003</v>
      </c>
      <c r="CT81" s="72">
        <f t="shared" si="35"/>
        <v>0</v>
      </c>
      <c r="CU81" s="72">
        <f t="shared" si="36"/>
        <v>0</v>
      </c>
      <c r="CV81" s="72">
        <f t="shared" si="37"/>
        <v>0</v>
      </c>
      <c r="CW81" s="72">
        <f t="shared" si="38"/>
        <v>0</v>
      </c>
      <c r="CX81" s="70">
        <f t="shared" si="39"/>
        <v>0</v>
      </c>
    </row>
    <row r="82" spans="27:102">
      <c r="AA82" s="34"/>
      <c r="AB82" s="34"/>
      <c r="AC82" s="34"/>
      <c r="AD82" s="34"/>
      <c r="AE82" s="34"/>
      <c r="AF82" s="34"/>
      <c r="AG82" s="34"/>
      <c r="AH82" s="34"/>
      <c r="AI82" s="34"/>
      <c r="AJ82" s="34"/>
      <c r="AK82" s="34"/>
      <c r="AL82" s="34"/>
      <c r="AM82" s="34"/>
      <c r="AN82" s="34"/>
      <c r="CB82" s="63">
        <v>6</v>
      </c>
      <c r="CC82" s="63">
        <f>data!$F27</f>
        <v>20</v>
      </c>
      <c r="CD82" s="63">
        <f>data!$G27</f>
        <v>0</v>
      </c>
      <c r="CE82" s="70">
        <f t="shared" si="20"/>
        <v>0</v>
      </c>
      <c r="CF82" s="71">
        <f t="shared" si="21"/>
        <v>0.75</v>
      </c>
      <c r="CG82" s="71">
        <f t="shared" si="22"/>
        <v>0</v>
      </c>
      <c r="CH82" s="71">
        <f t="shared" si="23"/>
        <v>0</v>
      </c>
      <c r="CI82" s="71">
        <f t="shared" si="24"/>
        <v>1</v>
      </c>
      <c r="CJ82" s="72">
        <f t="shared" si="25"/>
        <v>6625</v>
      </c>
      <c r="CK82" s="72">
        <f t="shared" si="26"/>
        <v>3155.6406685236766</v>
      </c>
      <c r="CL82" s="72">
        <f t="shared" si="27"/>
        <v>3155.6406685236766</v>
      </c>
      <c r="CM82" s="70">
        <f t="shared" si="28"/>
        <v>0</v>
      </c>
      <c r="CN82" s="72">
        <f t="shared" si="29"/>
        <v>1220</v>
      </c>
      <c r="CO82" s="72">
        <f t="shared" si="30"/>
        <v>498.14004376367626</v>
      </c>
      <c r="CP82" s="72">
        <f t="shared" si="31"/>
        <v>498.14004376367626</v>
      </c>
      <c r="CQ82" s="45">
        <f t="shared" si="32"/>
        <v>5.4303278688524594</v>
      </c>
      <c r="CR82" s="45">
        <f t="shared" si="33"/>
        <v>6.334846411224774</v>
      </c>
      <c r="CS82" s="45">
        <f t="shared" si="34"/>
        <v>6.334846411224774</v>
      </c>
      <c r="CT82" s="72">
        <f t="shared" si="35"/>
        <v>0</v>
      </c>
      <c r="CU82" s="72">
        <f t="shared" si="36"/>
        <v>0</v>
      </c>
      <c r="CV82" s="72">
        <f t="shared" si="37"/>
        <v>0</v>
      </c>
      <c r="CW82" s="72">
        <f t="shared" si="38"/>
        <v>0</v>
      </c>
      <c r="CX82" s="70">
        <f t="shared" si="39"/>
        <v>0</v>
      </c>
    </row>
    <row r="83" spans="27:102">
      <c r="CB83" s="63">
        <v>7</v>
      </c>
      <c r="CC83" s="63">
        <f>data!$F28</f>
        <v>21</v>
      </c>
      <c r="CD83" s="63">
        <f>data!$G28</f>
        <v>130</v>
      </c>
      <c r="CE83" s="70">
        <f t="shared" si="20"/>
        <v>366.66666666666669</v>
      </c>
      <c r="CF83" s="71">
        <f t="shared" si="21"/>
        <v>0.77936452462039529</v>
      </c>
      <c r="CG83" s="71">
        <f t="shared" si="22"/>
        <v>0.1174580984815812</v>
      </c>
      <c r="CH83" s="71">
        <f t="shared" si="23"/>
        <v>0</v>
      </c>
      <c r="CI83" s="71">
        <f t="shared" si="24"/>
        <v>1</v>
      </c>
      <c r="CJ83" s="72">
        <f t="shared" si="25"/>
        <v>6550</v>
      </c>
      <c r="CK83" s="72">
        <f t="shared" si="26"/>
        <v>3121.6805942432679</v>
      </c>
      <c r="CL83" s="72">
        <f t="shared" si="27"/>
        <v>3121.6805942432679</v>
      </c>
      <c r="CM83" s="70">
        <f t="shared" si="28"/>
        <v>47666.666666666672</v>
      </c>
      <c r="CN83" s="72">
        <f t="shared" si="29"/>
        <v>1240</v>
      </c>
      <c r="CO83" s="72">
        <f t="shared" si="30"/>
        <v>507.23559445660112</v>
      </c>
      <c r="CP83" s="72">
        <f t="shared" si="31"/>
        <v>507.23559445660112</v>
      </c>
      <c r="CQ83" s="45">
        <f t="shared" si="32"/>
        <v>5.282258064516129</v>
      </c>
      <c r="CR83" s="45">
        <f t="shared" si="33"/>
        <v>6.1543011341455802</v>
      </c>
      <c r="CS83" s="45">
        <f t="shared" si="34"/>
        <v>6.1543011341455802</v>
      </c>
      <c r="CT83" s="72">
        <f t="shared" si="35"/>
        <v>76.445522634053589</v>
      </c>
      <c r="CU83" s="72">
        <f t="shared" si="36"/>
        <v>0</v>
      </c>
      <c r="CV83" s="72">
        <f t="shared" si="37"/>
        <v>0</v>
      </c>
      <c r="CW83" s="72">
        <f t="shared" si="38"/>
        <v>0</v>
      </c>
      <c r="CX83" s="70">
        <f t="shared" si="39"/>
        <v>9937.917942426966</v>
      </c>
    </row>
    <row r="84" spans="27:102">
      <c r="CB84" s="63">
        <v>8</v>
      </c>
      <c r="CC84" s="63">
        <f>data!$F29</f>
        <v>22</v>
      </c>
      <c r="CD84" s="63">
        <f>data!$G29</f>
        <v>167</v>
      </c>
      <c r="CE84" s="70">
        <f t="shared" si="20"/>
        <v>733.33333333333337</v>
      </c>
      <c r="CF84" s="71">
        <f t="shared" si="21"/>
        <v>0.80937497650711554</v>
      </c>
      <c r="CG84" s="71">
        <f t="shared" si="22"/>
        <v>0.2374999060284621</v>
      </c>
      <c r="CH84" s="71">
        <f t="shared" si="23"/>
        <v>0</v>
      </c>
      <c r="CI84" s="71">
        <f t="shared" si="24"/>
        <v>1</v>
      </c>
      <c r="CJ84" s="72">
        <f t="shared" si="25"/>
        <v>6475</v>
      </c>
      <c r="CK84" s="72">
        <f t="shared" si="26"/>
        <v>3087.7205199628597</v>
      </c>
      <c r="CL84" s="72">
        <f t="shared" si="27"/>
        <v>3087.7205199628597</v>
      </c>
      <c r="CM84" s="70">
        <f t="shared" si="28"/>
        <v>122466.66666666667</v>
      </c>
      <c r="CN84" s="72">
        <f t="shared" si="29"/>
        <v>1260</v>
      </c>
      <c r="CO84" s="72">
        <f t="shared" si="30"/>
        <v>516.33114514952604</v>
      </c>
      <c r="CP84" s="72">
        <f t="shared" si="31"/>
        <v>516.33114514952604</v>
      </c>
      <c r="CQ84" s="45">
        <f t="shared" si="32"/>
        <v>5.1388888888888893</v>
      </c>
      <c r="CR84" s="45">
        <f t="shared" si="33"/>
        <v>5.9801167312281276</v>
      </c>
      <c r="CS84" s="45">
        <f t="shared" si="34"/>
        <v>5.9801167312281276</v>
      </c>
      <c r="CT84" s="72">
        <f t="shared" si="35"/>
        <v>151.5102418680998</v>
      </c>
      <c r="CU84" s="72">
        <f t="shared" si="36"/>
        <v>0</v>
      </c>
      <c r="CV84" s="72">
        <f t="shared" si="37"/>
        <v>0</v>
      </c>
      <c r="CW84" s="72">
        <f t="shared" si="38"/>
        <v>0</v>
      </c>
      <c r="CX84" s="70">
        <f t="shared" si="39"/>
        <v>25302.210391972665</v>
      </c>
    </row>
    <row r="85" spans="27:102">
      <c r="CB85" s="63">
        <v>9</v>
      </c>
      <c r="CC85" s="63">
        <f>data!$F30</f>
        <v>23</v>
      </c>
      <c r="CD85" s="63">
        <f>data!$G30</f>
        <v>231</v>
      </c>
      <c r="CE85" s="70">
        <f t="shared" si="20"/>
        <v>1100</v>
      </c>
      <c r="CF85" s="71">
        <f t="shared" si="21"/>
        <v>0.84005290522667153</v>
      </c>
      <c r="CG85" s="71">
        <f t="shared" si="22"/>
        <v>0.36021162090668613</v>
      </c>
      <c r="CH85" s="71">
        <f t="shared" si="23"/>
        <v>0</v>
      </c>
      <c r="CI85" s="71">
        <f t="shared" si="24"/>
        <v>1</v>
      </c>
      <c r="CJ85" s="72">
        <f t="shared" si="25"/>
        <v>6400</v>
      </c>
      <c r="CK85" s="72">
        <f t="shared" si="26"/>
        <v>3053.7604456824511</v>
      </c>
      <c r="CL85" s="72">
        <f t="shared" si="27"/>
        <v>3053.7604456824511</v>
      </c>
      <c r="CM85" s="70">
        <f t="shared" si="28"/>
        <v>254100</v>
      </c>
      <c r="CN85" s="72">
        <f t="shared" si="29"/>
        <v>1280</v>
      </c>
      <c r="CO85" s="72">
        <f t="shared" si="30"/>
        <v>525.42669584245084</v>
      </c>
      <c r="CP85" s="72">
        <f t="shared" si="31"/>
        <v>525.42669584245084</v>
      </c>
      <c r="CQ85" s="45">
        <f t="shared" si="32"/>
        <v>5</v>
      </c>
      <c r="CR85" s="45">
        <f t="shared" si="33"/>
        <v>5.8119628672200561</v>
      </c>
      <c r="CS85" s="45">
        <f t="shared" si="34"/>
        <v>5.8119628672200561</v>
      </c>
      <c r="CT85" s="72">
        <f t="shared" si="35"/>
        <v>225.30105020705125</v>
      </c>
      <c r="CU85" s="72">
        <f t="shared" si="36"/>
        <v>0</v>
      </c>
      <c r="CV85" s="72">
        <f t="shared" si="37"/>
        <v>0</v>
      </c>
      <c r="CW85" s="72">
        <f t="shared" si="38"/>
        <v>0</v>
      </c>
      <c r="CX85" s="70">
        <f t="shared" si="39"/>
        <v>52044.54259782884</v>
      </c>
    </row>
    <row r="86" spans="27:102">
      <c r="CB86" s="63">
        <v>10</v>
      </c>
      <c r="CC86" s="63">
        <f>data!$F31</f>
        <v>24</v>
      </c>
      <c r="CD86" s="63">
        <f>data!$G31</f>
        <v>271</v>
      </c>
      <c r="CE86" s="70">
        <f t="shared" si="20"/>
        <v>1466.6666666666667</v>
      </c>
      <c r="CF86" s="71">
        <f t="shared" si="21"/>
        <v>0.8714208297141276</v>
      </c>
      <c r="CG86" s="71">
        <f t="shared" si="22"/>
        <v>0.48568331885651039</v>
      </c>
      <c r="CH86" s="71">
        <f t="shared" si="23"/>
        <v>0</v>
      </c>
      <c r="CI86" s="71">
        <f t="shared" si="24"/>
        <v>1</v>
      </c>
      <c r="CJ86" s="72">
        <f t="shared" si="25"/>
        <v>6325</v>
      </c>
      <c r="CK86" s="72">
        <f t="shared" si="26"/>
        <v>3019.8003714020424</v>
      </c>
      <c r="CL86" s="72">
        <f t="shared" si="27"/>
        <v>3019.8003714020424</v>
      </c>
      <c r="CM86" s="70">
        <f t="shared" si="28"/>
        <v>397466.66666666669</v>
      </c>
      <c r="CN86" s="72">
        <f t="shared" si="29"/>
        <v>1300</v>
      </c>
      <c r="CO86" s="72">
        <f t="shared" si="30"/>
        <v>534.52224653537564</v>
      </c>
      <c r="CP86" s="72">
        <f t="shared" si="31"/>
        <v>534.52224653537564</v>
      </c>
      <c r="CQ86" s="45">
        <f t="shared" si="32"/>
        <v>4.865384615384615</v>
      </c>
      <c r="CR86" s="45">
        <f t="shared" si="33"/>
        <v>5.6495316911046221</v>
      </c>
      <c r="CS86" s="45">
        <f t="shared" si="34"/>
        <v>5.6495316911046221</v>
      </c>
      <c r="CT86" s="72">
        <f t="shared" si="35"/>
        <v>297.91408450163459</v>
      </c>
      <c r="CU86" s="72">
        <f t="shared" si="36"/>
        <v>0</v>
      </c>
      <c r="CV86" s="72">
        <f t="shared" si="37"/>
        <v>0</v>
      </c>
      <c r="CW86" s="72">
        <f t="shared" si="38"/>
        <v>0</v>
      </c>
      <c r="CX86" s="70">
        <f t="shared" si="39"/>
        <v>80734.71689994297</v>
      </c>
    </row>
    <row r="87" spans="27:102">
      <c r="CB87" s="63">
        <v>11</v>
      </c>
      <c r="CC87" s="63">
        <f>data!$F32</f>
        <v>25</v>
      </c>
      <c r="CD87" s="63">
        <f>data!$G32</f>
        <v>253</v>
      </c>
      <c r="CE87" s="70">
        <f t="shared" si="20"/>
        <v>1833.3333333333333</v>
      </c>
      <c r="CF87" s="71">
        <f t="shared" si="21"/>
        <v>0.90350229339967347</v>
      </c>
      <c r="CG87" s="71">
        <f t="shared" si="22"/>
        <v>0.61400917359869389</v>
      </c>
      <c r="CH87" s="71">
        <f t="shared" si="23"/>
        <v>0</v>
      </c>
      <c r="CI87" s="71">
        <f t="shared" si="24"/>
        <v>1</v>
      </c>
      <c r="CJ87" s="72">
        <f t="shared" si="25"/>
        <v>6250</v>
      </c>
      <c r="CK87" s="72">
        <f t="shared" si="26"/>
        <v>2985.8402971216342</v>
      </c>
      <c r="CL87" s="72">
        <f t="shared" si="27"/>
        <v>2985.8402971216342</v>
      </c>
      <c r="CM87" s="70">
        <f t="shared" si="28"/>
        <v>463833.33333333331</v>
      </c>
      <c r="CN87" s="72">
        <f t="shared" si="29"/>
        <v>1320</v>
      </c>
      <c r="CO87" s="72">
        <f t="shared" si="30"/>
        <v>543.61779722830056</v>
      </c>
      <c r="CP87" s="72">
        <f t="shared" si="31"/>
        <v>543.61779722830056</v>
      </c>
      <c r="CQ87" s="45">
        <f t="shared" si="32"/>
        <v>4.7348484848484844</v>
      </c>
      <c r="CR87" s="45">
        <f t="shared" si="33"/>
        <v>5.4925359551237891</v>
      </c>
      <c r="CS87" s="45">
        <f t="shared" si="34"/>
        <v>5.4925359551237891</v>
      </c>
      <c r="CT87" s="72">
        <f t="shared" si="35"/>
        <v>369.43604556190917</v>
      </c>
      <c r="CU87" s="72">
        <f t="shared" si="36"/>
        <v>0</v>
      </c>
      <c r="CV87" s="72">
        <f t="shared" si="37"/>
        <v>0</v>
      </c>
      <c r="CW87" s="72">
        <f t="shared" si="38"/>
        <v>0</v>
      </c>
      <c r="CX87" s="70">
        <f t="shared" si="39"/>
        <v>93467.319527163025</v>
      </c>
    </row>
    <row r="88" spans="27:102">
      <c r="CB88" s="63">
        <v>12</v>
      </c>
      <c r="CC88" s="63">
        <f>data!$F33</f>
        <v>26</v>
      </c>
      <c r="CD88" s="63">
        <f>data!$G33</f>
        <v>226</v>
      </c>
      <c r="CE88" s="70">
        <f t="shared" si="20"/>
        <v>2200</v>
      </c>
      <c r="CF88" s="71">
        <f t="shared" si="21"/>
        <v>0.93632192314043738</v>
      </c>
      <c r="CG88" s="71">
        <f t="shared" si="22"/>
        <v>0.74528769256174954</v>
      </c>
      <c r="CH88" s="71">
        <f t="shared" si="23"/>
        <v>0</v>
      </c>
      <c r="CI88" s="71">
        <f t="shared" si="24"/>
        <v>1</v>
      </c>
      <c r="CJ88" s="72">
        <f t="shared" si="25"/>
        <v>6175</v>
      </c>
      <c r="CK88" s="72">
        <f t="shared" si="26"/>
        <v>2951.8802228412255</v>
      </c>
      <c r="CL88" s="72">
        <f t="shared" si="27"/>
        <v>2951.8802228412255</v>
      </c>
      <c r="CM88" s="70">
        <f t="shared" si="28"/>
        <v>497200</v>
      </c>
      <c r="CN88" s="72">
        <f t="shared" si="29"/>
        <v>1340</v>
      </c>
      <c r="CO88" s="72">
        <f t="shared" si="30"/>
        <v>552.71334792122548</v>
      </c>
      <c r="CP88" s="72">
        <f t="shared" si="31"/>
        <v>552.71334792122548</v>
      </c>
      <c r="CQ88" s="45">
        <f t="shared" si="32"/>
        <v>4.6082089552238807</v>
      </c>
      <c r="CR88" s="45">
        <f t="shared" si="33"/>
        <v>5.3407073195234958</v>
      </c>
      <c r="CS88" s="45">
        <f t="shared" si="34"/>
        <v>5.3407073195234958</v>
      </c>
      <c r="CT88" s="72">
        <f t="shared" si="35"/>
        <v>439.94532813956641</v>
      </c>
      <c r="CU88" s="72">
        <f t="shared" si="36"/>
        <v>0</v>
      </c>
      <c r="CV88" s="72">
        <f t="shared" si="37"/>
        <v>0</v>
      </c>
      <c r="CW88" s="72">
        <f t="shared" si="38"/>
        <v>0</v>
      </c>
      <c r="CX88" s="70">
        <f t="shared" si="39"/>
        <v>99427.644159542004</v>
      </c>
    </row>
    <row r="89" spans="27:102">
      <c r="CB89" s="63">
        <v>13</v>
      </c>
      <c r="CC89" s="63">
        <f>data!$F34</f>
        <v>27</v>
      </c>
      <c r="CD89" s="63">
        <f>data!$G34</f>
        <v>189</v>
      </c>
      <c r="CE89" s="70">
        <f t="shared" si="20"/>
        <v>2566.6666666666665</v>
      </c>
      <c r="CF89" s="71">
        <f t="shared" si="21"/>
        <v>0.96990549226754919</v>
      </c>
      <c r="CG89" s="71">
        <f t="shared" si="22"/>
        <v>0.87962196907019663</v>
      </c>
      <c r="CH89" s="71">
        <f t="shared" si="23"/>
        <v>0</v>
      </c>
      <c r="CI89" s="71">
        <f t="shared" si="24"/>
        <v>1</v>
      </c>
      <c r="CJ89" s="72">
        <f t="shared" si="25"/>
        <v>6100</v>
      </c>
      <c r="CK89" s="72">
        <f t="shared" si="26"/>
        <v>2917.9201485608169</v>
      </c>
      <c r="CL89" s="72">
        <f t="shared" si="27"/>
        <v>2917.9201485608169</v>
      </c>
      <c r="CM89" s="70">
        <f t="shared" si="28"/>
        <v>485100</v>
      </c>
      <c r="CN89" s="72">
        <f t="shared" si="29"/>
        <v>1360</v>
      </c>
      <c r="CO89" s="72">
        <f t="shared" si="30"/>
        <v>561.80889861415028</v>
      </c>
      <c r="CP89" s="72">
        <f t="shared" si="31"/>
        <v>561.80889861415028</v>
      </c>
      <c r="CQ89" s="45">
        <f t="shared" si="32"/>
        <v>4.4852941176470589</v>
      </c>
      <c r="CR89" s="45">
        <f t="shared" si="33"/>
        <v>5.1937948219735146</v>
      </c>
      <c r="CS89" s="45">
        <f t="shared" si="34"/>
        <v>5.1937948219735146</v>
      </c>
      <c r="CT89" s="72">
        <f t="shared" si="35"/>
        <v>509.51299232752206</v>
      </c>
      <c r="CU89" s="72">
        <f t="shared" si="36"/>
        <v>0</v>
      </c>
      <c r="CV89" s="72">
        <f t="shared" si="37"/>
        <v>0</v>
      </c>
      <c r="CW89" s="72">
        <f t="shared" si="38"/>
        <v>0</v>
      </c>
      <c r="CX89" s="70">
        <f t="shared" si="39"/>
        <v>96297.955549901671</v>
      </c>
    </row>
    <row r="90" spans="27:102">
      <c r="CB90" s="63">
        <v>14</v>
      </c>
      <c r="CC90" s="63">
        <f>data!$F35</f>
        <v>28</v>
      </c>
      <c r="CD90" s="63">
        <f>data!$G35</f>
        <v>149</v>
      </c>
      <c r="CE90" s="70">
        <f t="shared" si="20"/>
        <v>2933.3333333333335</v>
      </c>
      <c r="CF90" s="71">
        <f t="shared" si="21"/>
        <v>1</v>
      </c>
      <c r="CG90" s="71">
        <f t="shared" si="22"/>
        <v>1</v>
      </c>
      <c r="CH90" s="71">
        <f t="shared" si="23"/>
        <v>0</v>
      </c>
      <c r="CI90" s="71">
        <f t="shared" si="24"/>
        <v>0.9842812379910727</v>
      </c>
      <c r="CJ90" s="72">
        <f t="shared" si="25"/>
        <v>6025</v>
      </c>
      <c r="CK90" s="72">
        <f t="shared" si="26"/>
        <v>2883.9600742804087</v>
      </c>
      <c r="CL90" s="72">
        <f t="shared" si="27"/>
        <v>2883.9600742804087</v>
      </c>
      <c r="CM90" s="70">
        <f t="shared" si="28"/>
        <v>437066.66666666669</v>
      </c>
      <c r="CN90" s="72">
        <f t="shared" si="29"/>
        <v>1380</v>
      </c>
      <c r="CO90" s="72">
        <f t="shared" si="30"/>
        <v>570.90444930707508</v>
      </c>
      <c r="CP90" s="72">
        <f t="shared" si="31"/>
        <v>570.90444930707508</v>
      </c>
      <c r="CQ90" s="45">
        <f t="shared" si="32"/>
        <v>4.3659420289855069</v>
      </c>
      <c r="CR90" s="45">
        <f t="shared" si="33"/>
        <v>5.0515634932969302</v>
      </c>
      <c r="CS90" s="45">
        <f t="shared" si="34"/>
        <v>5.0515634932969302</v>
      </c>
      <c r="CT90" s="72">
        <f t="shared" si="35"/>
        <v>0</v>
      </c>
      <c r="CU90" s="72">
        <f t="shared" si="36"/>
        <v>0</v>
      </c>
      <c r="CV90" s="72">
        <f t="shared" si="37"/>
        <v>583.62242971089915</v>
      </c>
      <c r="CW90" s="72">
        <f t="shared" si="38"/>
        <v>0</v>
      </c>
      <c r="CX90" s="70">
        <f t="shared" si="39"/>
        <v>86959.742026923981</v>
      </c>
    </row>
    <row r="91" spans="27:102">
      <c r="CB91" s="63">
        <v>15</v>
      </c>
      <c r="CC91" s="63">
        <f>data!$F36</f>
        <v>29</v>
      </c>
      <c r="CD91" s="63">
        <f>data!$G36</f>
        <v>128</v>
      </c>
      <c r="CE91" s="70">
        <f t="shared" si="20"/>
        <v>3300</v>
      </c>
      <c r="CF91" s="71">
        <f t="shared" si="21"/>
        <v>1</v>
      </c>
      <c r="CG91" s="71">
        <f t="shared" si="22"/>
        <v>1</v>
      </c>
      <c r="CH91" s="71">
        <f t="shared" si="23"/>
        <v>0</v>
      </c>
      <c r="CI91" s="71">
        <f t="shared" si="24"/>
        <v>0.85483870967741937</v>
      </c>
      <c r="CJ91" s="72">
        <f t="shared" si="25"/>
        <v>5950</v>
      </c>
      <c r="CK91" s="72">
        <f t="shared" si="26"/>
        <v>2850</v>
      </c>
      <c r="CL91" s="72">
        <f t="shared" si="27"/>
        <v>2850</v>
      </c>
      <c r="CM91" s="70">
        <f t="shared" si="28"/>
        <v>422400</v>
      </c>
      <c r="CN91" s="72">
        <f t="shared" si="29"/>
        <v>1400</v>
      </c>
      <c r="CO91" s="72">
        <f t="shared" si="30"/>
        <v>580</v>
      </c>
      <c r="CP91" s="72">
        <f t="shared" si="31"/>
        <v>580</v>
      </c>
      <c r="CQ91" s="45">
        <f t="shared" si="32"/>
        <v>4.25</v>
      </c>
      <c r="CR91" s="45">
        <f t="shared" si="33"/>
        <v>4.9137931034482758</v>
      </c>
      <c r="CS91" s="45">
        <f t="shared" si="34"/>
        <v>4.9137931034482758</v>
      </c>
      <c r="CT91" s="72">
        <f t="shared" si="35"/>
        <v>0</v>
      </c>
      <c r="CU91" s="72">
        <f t="shared" si="36"/>
        <v>0</v>
      </c>
      <c r="CV91" s="72">
        <f t="shared" si="37"/>
        <v>699.0322580645161</v>
      </c>
      <c r="CW91" s="72">
        <f t="shared" si="38"/>
        <v>0</v>
      </c>
      <c r="CX91" s="70">
        <f t="shared" si="39"/>
        <v>89476.129032258061</v>
      </c>
    </row>
    <row r="92" spans="27:102">
      <c r="CB92" s="63">
        <v>16</v>
      </c>
      <c r="CC92" s="63">
        <f>data!$F37</f>
        <v>30</v>
      </c>
      <c r="CD92" s="63">
        <f>data!$G37</f>
        <v>111</v>
      </c>
      <c r="CE92" s="70">
        <f t="shared" si="20"/>
        <v>3666.6666666666665</v>
      </c>
      <c r="CF92" s="71">
        <f t="shared" si="21"/>
        <v>1</v>
      </c>
      <c r="CG92" s="71">
        <f t="shared" si="22"/>
        <v>1</v>
      </c>
      <c r="CH92" s="71">
        <f t="shared" si="23"/>
        <v>0</v>
      </c>
      <c r="CI92" s="71">
        <f t="shared" si="24"/>
        <v>0.72192290180604035</v>
      </c>
      <c r="CJ92" s="72">
        <f t="shared" si="25"/>
        <v>5875</v>
      </c>
      <c r="CK92" s="72">
        <f t="shared" si="26"/>
        <v>2816.0399257195913</v>
      </c>
      <c r="CL92" s="72">
        <f t="shared" si="27"/>
        <v>2816.0399257195913</v>
      </c>
      <c r="CM92" s="70">
        <f t="shared" si="28"/>
        <v>407000</v>
      </c>
      <c r="CN92" s="72">
        <f t="shared" si="29"/>
        <v>1420</v>
      </c>
      <c r="CO92" s="72">
        <f t="shared" si="30"/>
        <v>589.09555069292492</v>
      </c>
      <c r="CP92" s="72">
        <f t="shared" si="31"/>
        <v>589.09555069292492</v>
      </c>
      <c r="CQ92" s="45">
        <f t="shared" si="32"/>
        <v>4.137323943661972</v>
      </c>
      <c r="CR92" s="45">
        <f t="shared" si="33"/>
        <v>4.78027702366317</v>
      </c>
      <c r="CS92" s="45">
        <f t="shared" si="34"/>
        <v>4.78027702366317</v>
      </c>
      <c r="CT92" s="72">
        <f t="shared" si="35"/>
        <v>0</v>
      </c>
      <c r="CU92" s="72">
        <f t="shared" si="36"/>
        <v>0</v>
      </c>
      <c r="CV92" s="72">
        <f t="shared" si="37"/>
        <v>820.15104883268646</v>
      </c>
      <c r="CW92" s="72">
        <f t="shared" si="38"/>
        <v>0</v>
      </c>
      <c r="CX92" s="70">
        <f t="shared" si="39"/>
        <v>91036.76642042819</v>
      </c>
    </row>
    <row r="93" spans="27:102">
      <c r="CB93" s="63">
        <v>17</v>
      </c>
      <c r="CC93" s="63">
        <f>data!$F38</f>
        <v>31</v>
      </c>
      <c r="CD93" s="63">
        <f>data!$G38</f>
        <v>84</v>
      </c>
      <c r="CE93" s="70">
        <f t="shared" si="20"/>
        <v>4033.3333333333335</v>
      </c>
      <c r="CF93" s="71">
        <f t="shared" si="21"/>
        <v>1</v>
      </c>
      <c r="CG93" s="71">
        <f t="shared" si="22"/>
        <v>1</v>
      </c>
      <c r="CH93" s="71">
        <f t="shared" si="23"/>
        <v>0</v>
      </c>
      <c r="CI93" s="71">
        <f t="shared" si="24"/>
        <v>0.58539211765067845</v>
      </c>
      <c r="CJ93" s="72">
        <f t="shared" si="25"/>
        <v>5800</v>
      </c>
      <c r="CK93" s="72">
        <f t="shared" si="26"/>
        <v>2782.0798514391831</v>
      </c>
      <c r="CL93" s="72">
        <f t="shared" si="27"/>
        <v>2782.0798514391831</v>
      </c>
      <c r="CM93" s="70">
        <f t="shared" si="28"/>
        <v>338800</v>
      </c>
      <c r="CN93" s="72">
        <f t="shared" si="29"/>
        <v>1440</v>
      </c>
      <c r="CO93" s="72">
        <f t="shared" si="30"/>
        <v>598.19110138584972</v>
      </c>
      <c r="CP93" s="72">
        <f t="shared" si="31"/>
        <v>598.19110138584972</v>
      </c>
      <c r="CQ93" s="45">
        <f t="shared" si="32"/>
        <v>4.0277777777777777</v>
      </c>
      <c r="CR93" s="45">
        <f t="shared" si="33"/>
        <v>4.6508211924146714</v>
      </c>
      <c r="CS93" s="45">
        <f t="shared" si="34"/>
        <v>4.6508211924146714</v>
      </c>
      <c r="CT93" s="72">
        <f t="shared" si="35"/>
        <v>0</v>
      </c>
      <c r="CU93" s="72">
        <f t="shared" si="36"/>
        <v>0</v>
      </c>
      <c r="CV93" s="72">
        <f t="shared" si="37"/>
        <v>947.21170618307724</v>
      </c>
      <c r="CW93" s="72">
        <f t="shared" si="38"/>
        <v>0</v>
      </c>
      <c r="CX93" s="70">
        <f t="shared" si="39"/>
        <v>79565.78331937849</v>
      </c>
    </row>
    <row r="94" spans="27:102">
      <c r="CB94" s="63">
        <v>18</v>
      </c>
      <c r="CC94" s="63">
        <f>data!$F39</f>
        <v>32</v>
      </c>
      <c r="CD94" s="63">
        <f>data!$G39</f>
        <v>60</v>
      </c>
      <c r="CE94" s="70">
        <f t="shared" si="20"/>
        <v>4400</v>
      </c>
      <c r="CF94" s="71">
        <f t="shared" si="21"/>
        <v>1</v>
      </c>
      <c r="CG94" s="71">
        <f t="shared" si="22"/>
        <v>1</v>
      </c>
      <c r="CH94" s="71">
        <f t="shared" si="23"/>
        <v>0</v>
      </c>
      <c r="CI94" s="71">
        <f t="shared" si="24"/>
        <v>0.44509684663609994</v>
      </c>
      <c r="CJ94" s="72">
        <f t="shared" si="25"/>
        <v>5725</v>
      </c>
      <c r="CK94" s="72">
        <f t="shared" si="26"/>
        <v>2748.1197771587745</v>
      </c>
      <c r="CL94" s="72">
        <f t="shared" si="27"/>
        <v>2748.1197771587745</v>
      </c>
      <c r="CM94" s="70">
        <f t="shared" si="28"/>
        <v>264000</v>
      </c>
      <c r="CN94" s="72">
        <f t="shared" si="29"/>
        <v>1460</v>
      </c>
      <c r="CO94" s="72">
        <f t="shared" si="30"/>
        <v>607.28665207877452</v>
      </c>
      <c r="CP94" s="72">
        <f t="shared" si="31"/>
        <v>607.28665207877452</v>
      </c>
      <c r="CQ94" s="45">
        <f t="shared" si="32"/>
        <v>3.9212328767123288</v>
      </c>
      <c r="CR94" s="45">
        <f t="shared" si="33"/>
        <v>4.5252431742930863</v>
      </c>
      <c r="CS94" s="45">
        <f t="shared" si="34"/>
        <v>4.5252431742930863</v>
      </c>
      <c r="CT94" s="72">
        <f t="shared" si="35"/>
        <v>0</v>
      </c>
      <c r="CU94" s="72">
        <f t="shared" si="36"/>
        <v>0</v>
      </c>
      <c r="CV94" s="72">
        <f t="shared" si="37"/>
        <v>1080.459977755751</v>
      </c>
      <c r="CW94" s="72">
        <f t="shared" si="38"/>
        <v>0</v>
      </c>
      <c r="CX94" s="70">
        <f t="shared" si="39"/>
        <v>64827.59866534506</v>
      </c>
    </row>
    <row r="95" spans="27:102">
      <c r="CB95" s="63">
        <v>19</v>
      </c>
      <c r="CC95" s="63">
        <f>data!$F40</f>
        <v>33</v>
      </c>
      <c r="CD95" s="63">
        <f>data!$G40</f>
        <v>38</v>
      </c>
      <c r="CE95" s="70">
        <f t="shared" si="20"/>
        <v>4766.666666666667</v>
      </c>
      <c r="CF95" s="71">
        <f t="shared" si="21"/>
        <v>1</v>
      </c>
      <c r="CG95" s="71">
        <f t="shared" si="22"/>
        <v>1</v>
      </c>
      <c r="CH95" s="71">
        <f t="shared" si="23"/>
        <v>0</v>
      </c>
      <c r="CI95" s="71">
        <f t="shared" si="24"/>
        <v>0.30087921819159358</v>
      </c>
      <c r="CJ95" s="72">
        <f t="shared" si="25"/>
        <v>5650</v>
      </c>
      <c r="CK95" s="72">
        <f t="shared" si="26"/>
        <v>2714.1597028783658</v>
      </c>
      <c r="CL95" s="72">
        <f t="shared" si="27"/>
        <v>2714.1597028783658</v>
      </c>
      <c r="CM95" s="70">
        <f t="shared" si="28"/>
        <v>181133.33333333334</v>
      </c>
      <c r="CN95" s="72">
        <f t="shared" si="29"/>
        <v>1480</v>
      </c>
      <c r="CO95" s="72">
        <f t="shared" si="30"/>
        <v>616.38220277169944</v>
      </c>
      <c r="CP95" s="72">
        <f t="shared" si="31"/>
        <v>616.38220277169944</v>
      </c>
      <c r="CQ95" s="45">
        <f t="shared" si="32"/>
        <v>3.8175675675675675</v>
      </c>
      <c r="CR95" s="45">
        <f t="shared" si="33"/>
        <v>4.4033713022107781</v>
      </c>
      <c r="CS95" s="45">
        <f t="shared" si="34"/>
        <v>4.4033713022107781</v>
      </c>
      <c r="CT95" s="72">
        <f t="shared" si="35"/>
        <v>0</v>
      </c>
      <c r="CU95" s="72">
        <f t="shared" si="36"/>
        <v>0</v>
      </c>
      <c r="CV95" s="72">
        <f t="shared" si="37"/>
        <v>1220.1553523536027</v>
      </c>
      <c r="CW95" s="72">
        <f t="shared" si="38"/>
        <v>0</v>
      </c>
      <c r="CX95" s="70">
        <f t="shared" si="39"/>
        <v>46365.903389436899</v>
      </c>
    </row>
    <row r="96" spans="27:102">
      <c r="CB96" s="63">
        <v>20</v>
      </c>
      <c r="CC96" s="63">
        <f>data!$F41</f>
        <v>34</v>
      </c>
      <c r="CD96" s="63">
        <f>data!$G41</f>
        <v>22</v>
      </c>
      <c r="CE96" s="70">
        <f t="shared" si="20"/>
        <v>5133.333333333333</v>
      </c>
      <c r="CF96" s="71">
        <f t="shared" si="21"/>
        <v>1</v>
      </c>
      <c r="CG96" s="71">
        <f t="shared" si="22"/>
        <v>1</v>
      </c>
      <c r="CH96" s="71">
        <f t="shared" si="23"/>
        <v>0</v>
      </c>
      <c r="CI96" s="71">
        <f t="shared" si="24"/>
        <v>0.15257240914776932</v>
      </c>
      <c r="CJ96" s="72">
        <f t="shared" si="25"/>
        <v>5575</v>
      </c>
      <c r="CK96" s="72">
        <f t="shared" si="26"/>
        <v>2680.1996285979576</v>
      </c>
      <c r="CL96" s="72">
        <f t="shared" si="27"/>
        <v>2680.1996285979576</v>
      </c>
      <c r="CM96" s="70">
        <f t="shared" si="28"/>
        <v>112933.33333333333</v>
      </c>
      <c r="CN96" s="72">
        <f t="shared" si="29"/>
        <v>1500</v>
      </c>
      <c r="CO96" s="72">
        <f t="shared" si="30"/>
        <v>625.47775346462436</v>
      </c>
      <c r="CP96" s="72">
        <f t="shared" si="31"/>
        <v>625.47775346462436</v>
      </c>
      <c r="CQ96" s="45">
        <f t="shared" si="32"/>
        <v>3.7166666666666668</v>
      </c>
      <c r="CR96" s="45">
        <f t="shared" si="33"/>
        <v>4.2850438944501068</v>
      </c>
      <c r="CS96" s="45">
        <f t="shared" si="34"/>
        <v>4.2850438944501068</v>
      </c>
      <c r="CT96" s="72">
        <f t="shared" si="35"/>
        <v>0</v>
      </c>
      <c r="CU96" s="72">
        <f t="shared" si="36"/>
        <v>0</v>
      </c>
      <c r="CV96" s="72">
        <f t="shared" si="37"/>
        <v>1366.5720339927782</v>
      </c>
      <c r="CW96" s="72">
        <f t="shared" si="38"/>
        <v>0</v>
      </c>
      <c r="CX96" s="70">
        <f t="shared" si="39"/>
        <v>30064.58474784112</v>
      </c>
    </row>
    <row r="97" spans="79:102">
      <c r="CB97" s="63">
        <v>21</v>
      </c>
      <c r="CC97" s="63">
        <f>data!$F42</f>
        <v>35</v>
      </c>
      <c r="CD97" s="63">
        <f>data!$G42</f>
        <v>12</v>
      </c>
      <c r="CE97" s="70">
        <f t="shared" si="20"/>
        <v>5500</v>
      </c>
      <c r="CF97" s="71">
        <f t="shared" si="21"/>
        <v>1</v>
      </c>
      <c r="CG97" s="71">
        <f t="shared" si="22"/>
        <v>1</v>
      </c>
      <c r="CH97" s="71">
        <f t="shared" si="23"/>
        <v>0</v>
      </c>
      <c r="CI97" s="71">
        <f t="shared" si="24"/>
        <v>0</v>
      </c>
      <c r="CJ97" s="72">
        <f t="shared" si="25"/>
        <v>5500</v>
      </c>
      <c r="CK97" s="72">
        <f t="shared" si="26"/>
        <v>2646.2395543175489</v>
      </c>
      <c r="CL97" s="72">
        <f t="shared" si="27"/>
        <v>2646.2395543175489</v>
      </c>
      <c r="CM97" s="70">
        <f t="shared" si="28"/>
        <v>66000</v>
      </c>
      <c r="CN97" s="72">
        <f t="shared" si="29"/>
        <v>1520</v>
      </c>
      <c r="CO97" s="72">
        <f t="shared" si="30"/>
        <v>634.57330415754916</v>
      </c>
      <c r="CP97" s="72">
        <f t="shared" si="31"/>
        <v>634.57330415754916</v>
      </c>
      <c r="CQ97" s="45">
        <f t="shared" si="32"/>
        <v>3.6184210526315788</v>
      </c>
      <c r="CR97" s="45">
        <f t="shared" si="33"/>
        <v>4.1701085390452413</v>
      </c>
      <c r="CS97" s="45">
        <f t="shared" si="34"/>
        <v>4.1701085390452413</v>
      </c>
      <c r="CT97" s="72">
        <f t="shared" si="35"/>
        <v>0</v>
      </c>
      <c r="CU97" s="72">
        <f t="shared" si="36"/>
        <v>0</v>
      </c>
      <c r="CV97" s="72">
        <f t="shared" si="37"/>
        <v>1520</v>
      </c>
      <c r="CW97" s="72">
        <f t="shared" si="38"/>
        <v>0</v>
      </c>
      <c r="CX97" s="70">
        <f t="shared" si="39"/>
        <v>18240</v>
      </c>
    </row>
    <row r="98" spans="79:102">
      <c r="CB98" s="63">
        <v>22</v>
      </c>
      <c r="CC98" s="63">
        <f>data!$F43</f>
        <v>36</v>
      </c>
      <c r="CD98" s="63">
        <f>data!$G43</f>
        <v>5</v>
      </c>
      <c r="CE98" s="70">
        <f t="shared" si="20"/>
        <v>5866.666666666667</v>
      </c>
      <c r="CF98" s="71">
        <f t="shared" si="21"/>
        <v>1</v>
      </c>
      <c r="CG98" s="71">
        <f t="shared" si="22"/>
        <v>1</v>
      </c>
      <c r="CH98" s="71">
        <f t="shared" si="23"/>
        <v>0</v>
      </c>
      <c r="CI98" s="71">
        <f t="shared" si="24"/>
        <v>0</v>
      </c>
      <c r="CJ98" s="72">
        <f t="shared" si="25"/>
        <v>5425</v>
      </c>
      <c r="CK98" s="72">
        <f t="shared" si="26"/>
        <v>2612.2794800371403</v>
      </c>
      <c r="CL98" s="72">
        <f t="shared" si="27"/>
        <v>2612.2794800371403</v>
      </c>
      <c r="CM98" s="70">
        <f t="shared" si="28"/>
        <v>27125</v>
      </c>
      <c r="CN98" s="72">
        <f t="shared" si="29"/>
        <v>1540</v>
      </c>
      <c r="CO98" s="72">
        <f t="shared" si="30"/>
        <v>643.66885485047396</v>
      </c>
      <c r="CP98" s="72">
        <f t="shared" si="31"/>
        <v>643.66885485047396</v>
      </c>
      <c r="CQ98" s="45">
        <f t="shared" si="32"/>
        <v>3.5227272727272729</v>
      </c>
      <c r="CR98" s="45">
        <f t="shared" si="33"/>
        <v>4.05842143883749</v>
      </c>
      <c r="CS98" s="45">
        <f t="shared" si="34"/>
        <v>4.05842143883749</v>
      </c>
      <c r="CT98" s="72">
        <f t="shared" si="35"/>
        <v>0</v>
      </c>
      <c r="CU98" s="72">
        <f t="shared" si="36"/>
        <v>0</v>
      </c>
      <c r="CV98" s="72">
        <f t="shared" si="37"/>
        <v>0</v>
      </c>
      <c r="CW98" s="72">
        <f t="shared" si="38"/>
        <v>1540</v>
      </c>
      <c r="CX98" s="70">
        <f t="shared" si="39"/>
        <v>7700</v>
      </c>
    </row>
    <row r="99" spans="79:102">
      <c r="CB99" s="63">
        <v>23</v>
      </c>
      <c r="CC99" s="63">
        <f>data!$F44</f>
        <v>37</v>
      </c>
      <c r="CD99" s="63">
        <f>data!$G44</f>
        <v>3</v>
      </c>
      <c r="CE99" s="70">
        <f t="shared" si="20"/>
        <v>6233.333333333333</v>
      </c>
      <c r="CF99" s="71">
        <f t="shared" si="21"/>
        <v>1</v>
      </c>
      <c r="CG99" s="71">
        <f t="shared" si="22"/>
        <v>1</v>
      </c>
      <c r="CH99" s="71">
        <f t="shared" si="23"/>
        <v>0</v>
      </c>
      <c r="CI99" s="71">
        <f t="shared" si="24"/>
        <v>0</v>
      </c>
      <c r="CJ99" s="72">
        <f t="shared" si="25"/>
        <v>5350</v>
      </c>
      <c r="CK99" s="72">
        <f t="shared" si="26"/>
        <v>2578.3194057567321</v>
      </c>
      <c r="CL99" s="72">
        <f t="shared" si="27"/>
        <v>2578.3194057567321</v>
      </c>
      <c r="CM99" s="70">
        <f t="shared" si="28"/>
        <v>16050</v>
      </c>
      <c r="CN99" s="72">
        <f t="shared" si="29"/>
        <v>1560</v>
      </c>
      <c r="CO99" s="72">
        <f t="shared" si="30"/>
        <v>652.76440554339888</v>
      </c>
      <c r="CP99" s="72">
        <f t="shared" si="31"/>
        <v>652.76440554339888</v>
      </c>
      <c r="CQ99" s="45">
        <f t="shared" si="32"/>
        <v>3.4294871794871793</v>
      </c>
      <c r="CR99" s="45">
        <f t="shared" si="33"/>
        <v>3.9498468112862093</v>
      </c>
      <c r="CS99" s="45">
        <f t="shared" si="34"/>
        <v>3.9498468112862093</v>
      </c>
      <c r="CT99" s="72">
        <f t="shared" si="35"/>
        <v>0</v>
      </c>
      <c r="CU99" s="72">
        <f t="shared" si="36"/>
        <v>0</v>
      </c>
      <c r="CV99" s="72">
        <f t="shared" si="37"/>
        <v>0</v>
      </c>
      <c r="CW99" s="72">
        <f t="shared" si="38"/>
        <v>1560</v>
      </c>
      <c r="CX99" s="70">
        <f t="shared" si="39"/>
        <v>4680</v>
      </c>
    </row>
    <row r="100" spans="79:102">
      <c r="CB100" s="63">
        <v>24</v>
      </c>
      <c r="CC100" s="63">
        <f>data!$F45</f>
        <v>38</v>
      </c>
      <c r="CD100" s="63">
        <f>data!$G45</f>
        <v>1</v>
      </c>
      <c r="CE100" s="70">
        <f t="shared" si="20"/>
        <v>6600</v>
      </c>
      <c r="CF100" s="71">
        <f t="shared" si="21"/>
        <v>1</v>
      </c>
      <c r="CG100" s="71">
        <f t="shared" si="22"/>
        <v>1</v>
      </c>
      <c r="CH100" s="71">
        <f t="shared" si="23"/>
        <v>0</v>
      </c>
      <c r="CI100" s="71">
        <f t="shared" si="24"/>
        <v>0</v>
      </c>
      <c r="CJ100" s="72">
        <f t="shared" si="25"/>
        <v>5275</v>
      </c>
      <c r="CK100" s="72">
        <f t="shared" si="26"/>
        <v>2544.3593314763234</v>
      </c>
      <c r="CL100" s="72">
        <f t="shared" si="27"/>
        <v>2544.3593314763234</v>
      </c>
      <c r="CM100" s="70">
        <f t="shared" si="28"/>
        <v>5275</v>
      </c>
      <c r="CN100" s="72">
        <f t="shared" si="29"/>
        <v>1580</v>
      </c>
      <c r="CO100" s="72">
        <f t="shared" si="30"/>
        <v>661.8599562363238</v>
      </c>
      <c r="CP100" s="72">
        <f t="shared" si="31"/>
        <v>661.8599562363238</v>
      </c>
      <c r="CQ100" s="45">
        <f t="shared" si="32"/>
        <v>3.3386075949367089</v>
      </c>
      <c r="CR100" s="45">
        <f t="shared" si="33"/>
        <v>3.8442563377679768</v>
      </c>
      <c r="CS100" s="45">
        <f t="shared" si="34"/>
        <v>3.8442563377679768</v>
      </c>
      <c r="CT100" s="72">
        <f t="shared" si="35"/>
        <v>0</v>
      </c>
      <c r="CU100" s="72">
        <f t="shared" si="36"/>
        <v>0</v>
      </c>
      <c r="CV100" s="72">
        <f t="shared" si="37"/>
        <v>0</v>
      </c>
      <c r="CW100" s="72">
        <f t="shared" si="38"/>
        <v>1580</v>
      </c>
      <c r="CX100" s="70">
        <f t="shared" si="39"/>
        <v>1580</v>
      </c>
    </row>
    <row r="101" spans="79:102">
      <c r="CB101" s="63">
        <v>25</v>
      </c>
      <c r="CC101" s="63">
        <f>data!$F46</f>
        <v>39</v>
      </c>
      <c r="CD101" s="63">
        <f>data!$G46</f>
        <v>0</v>
      </c>
      <c r="CE101" s="70">
        <f t="shared" si="20"/>
        <v>6966.666666666667</v>
      </c>
      <c r="CF101" s="71">
        <f t="shared" si="21"/>
        <v>1</v>
      </c>
      <c r="CG101" s="71">
        <f t="shared" si="22"/>
        <v>1</v>
      </c>
      <c r="CH101" s="71">
        <f t="shared" si="23"/>
        <v>0</v>
      </c>
      <c r="CI101" s="71">
        <f t="shared" si="24"/>
        <v>0</v>
      </c>
      <c r="CJ101" s="72">
        <f t="shared" si="25"/>
        <v>5200</v>
      </c>
      <c r="CK101" s="72">
        <f t="shared" si="26"/>
        <v>2510.3992571959147</v>
      </c>
      <c r="CL101" s="72">
        <f t="shared" si="27"/>
        <v>2510.3992571959147</v>
      </c>
      <c r="CM101" s="70">
        <f t="shared" si="28"/>
        <v>0</v>
      </c>
      <c r="CN101" s="72">
        <f t="shared" si="29"/>
        <v>1600</v>
      </c>
      <c r="CO101" s="72">
        <f t="shared" si="30"/>
        <v>670.9555069292486</v>
      </c>
      <c r="CP101" s="72">
        <f t="shared" si="31"/>
        <v>670.9555069292486</v>
      </c>
      <c r="CQ101" s="45">
        <f t="shared" si="32"/>
        <v>3.25</v>
      </c>
      <c r="CR101" s="45">
        <f t="shared" si="33"/>
        <v>3.7415286576679563</v>
      </c>
      <c r="CS101" s="45">
        <f t="shared" si="34"/>
        <v>3.7415286576679563</v>
      </c>
      <c r="CT101" s="72">
        <f t="shared" si="35"/>
        <v>0</v>
      </c>
      <c r="CU101" s="72">
        <f t="shared" si="36"/>
        <v>0</v>
      </c>
      <c r="CV101" s="72">
        <f t="shared" si="37"/>
        <v>0</v>
      </c>
      <c r="CW101" s="72">
        <f t="shared" si="38"/>
        <v>1600</v>
      </c>
      <c r="CX101" s="70">
        <f t="shared" si="39"/>
        <v>0</v>
      </c>
    </row>
    <row r="102" spans="79:102">
      <c r="CB102" s="63">
        <v>26</v>
      </c>
      <c r="CC102" s="63">
        <f>data!$F47</f>
        <v>40</v>
      </c>
      <c r="CD102" s="63">
        <f>data!$G47</f>
        <v>0</v>
      </c>
      <c r="CE102" s="70">
        <f t="shared" si="20"/>
        <v>7333.333333333333</v>
      </c>
      <c r="CF102" s="71">
        <f t="shared" si="21"/>
        <v>1</v>
      </c>
      <c r="CG102" s="71">
        <f t="shared" si="22"/>
        <v>1</v>
      </c>
      <c r="CH102" s="71">
        <f t="shared" si="23"/>
        <v>0</v>
      </c>
      <c r="CI102" s="71">
        <f t="shared" si="24"/>
        <v>0</v>
      </c>
      <c r="CJ102" s="72">
        <f t="shared" si="25"/>
        <v>5125</v>
      </c>
      <c r="CK102" s="72">
        <f t="shared" si="26"/>
        <v>2476.4391829155065</v>
      </c>
      <c r="CL102" s="72">
        <f t="shared" si="27"/>
        <v>2476.4391829155065</v>
      </c>
      <c r="CM102" s="70">
        <f t="shared" si="28"/>
        <v>0</v>
      </c>
      <c r="CN102" s="72">
        <f t="shared" si="29"/>
        <v>1620</v>
      </c>
      <c r="CO102" s="72">
        <f t="shared" si="30"/>
        <v>680.0510576221734</v>
      </c>
      <c r="CP102" s="72">
        <f t="shared" si="31"/>
        <v>680.0510576221734</v>
      </c>
      <c r="CQ102" s="45">
        <f t="shared" si="32"/>
        <v>3.1635802469135803</v>
      </c>
      <c r="CR102" s="45">
        <f t="shared" si="33"/>
        <v>3.6415489030698347</v>
      </c>
      <c r="CS102" s="45">
        <f t="shared" si="34"/>
        <v>3.6415489030698347</v>
      </c>
      <c r="CT102" s="72">
        <f t="shared" si="35"/>
        <v>0</v>
      </c>
      <c r="CU102" s="72">
        <f t="shared" si="36"/>
        <v>0</v>
      </c>
      <c r="CV102" s="72">
        <f t="shared" si="37"/>
        <v>0</v>
      </c>
      <c r="CW102" s="72">
        <f t="shared" si="38"/>
        <v>1620</v>
      </c>
      <c r="CX102" s="70">
        <f t="shared" si="39"/>
        <v>0</v>
      </c>
    </row>
    <row r="103" spans="79:102">
      <c r="CB103" s="63">
        <v>27</v>
      </c>
      <c r="CC103" s="63">
        <f>data!$F48</f>
        <v>41</v>
      </c>
      <c r="CD103" s="63">
        <f>data!$G48</f>
        <v>0</v>
      </c>
      <c r="CE103" s="70">
        <f t="shared" si="20"/>
        <v>7700</v>
      </c>
      <c r="CF103" s="71">
        <f t="shared" si="21"/>
        <v>1</v>
      </c>
      <c r="CG103" s="71">
        <f t="shared" si="22"/>
        <v>1</v>
      </c>
      <c r="CH103" s="71">
        <f t="shared" si="23"/>
        <v>0</v>
      </c>
      <c r="CI103" s="71">
        <f t="shared" si="24"/>
        <v>0</v>
      </c>
      <c r="CJ103" s="72">
        <f t="shared" si="25"/>
        <v>5050</v>
      </c>
      <c r="CK103" s="72">
        <f t="shared" si="26"/>
        <v>2442.4791086350979</v>
      </c>
      <c r="CL103" s="72">
        <f t="shared" si="27"/>
        <v>2442.4791086350979</v>
      </c>
      <c r="CM103" s="70">
        <f t="shared" si="28"/>
        <v>0</v>
      </c>
      <c r="CN103" s="72">
        <f t="shared" si="29"/>
        <v>1640</v>
      </c>
      <c r="CO103" s="72">
        <f t="shared" si="30"/>
        <v>689.14660831509832</v>
      </c>
      <c r="CP103" s="72">
        <f t="shared" si="31"/>
        <v>689.14660831509832</v>
      </c>
      <c r="CQ103" s="45">
        <f t="shared" si="32"/>
        <v>3.0792682926829267</v>
      </c>
      <c r="CR103" s="45">
        <f t="shared" si="33"/>
        <v>3.5442082702935163</v>
      </c>
      <c r="CS103" s="45">
        <f t="shared" si="34"/>
        <v>3.5442082702935163</v>
      </c>
      <c r="CT103" s="72">
        <f t="shared" si="35"/>
        <v>0</v>
      </c>
      <c r="CU103" s="72">
        <f t="shared" si="36"/>
        <v>0</v>
      </c>
      <c r="CV103" s="72">
        <f t="shared" si="37"/>
        <v>0</v>
      </c>
      <c r="CW103" s="72">
        <f t="shared" si="38"/>
        <v>1640</v>
      </c>
      <c r="CX103" s="70">
        <f t="shared" si="39"/>
        <v>0</v>
      </c>
    </row>
    <row r="104" spans="79:102">
      <c r="CB104" s="63">
        <v>28</v>
      </c>
      <c r="CC104" s="63">
        <f>data!$F49</f>
        <v>42</v>
      </c>
      <c r="CD104" s="63">
        <f>data!$G49</f>
        <v>0</v>
      </c>
      <c r="CE104" s="70">
        <f t="shared" si="20"/>
        <v>8066.666666666667</v>
      </c>
      <c r="CF104" s="71">
        <f t="shared" si="21"/>
        <v>1</v>
      </c>
      <c r="CG104" s="71">
        <f t="shared" si="22"/>
        <v>1</v>
      </c>
      <c r="CH104" s="71">
        <f t="shared" si="23"/>
        <v>0</v>
      </c>
      <c r="CI104" s="71">
        <f t="shared" si="24"/>
        <v>0</v>
      </c>
      <c r="CJ104" s="72">
        <f t="shared" si="25"/>
        <v>4975</v>
      </c>
      <c r="CK104" s="72">
        <f t="shared" si="26"/>
        <v>2408.5190343546892</v>
      </c>
      <c r="CL104" s="72">
        <f t="shared" si="27"/>
        <v>2408.5190343546892</v>
      </c>
      <c r="CM104" s="70">
        <f t="shared" si="28"/>
        <v>0</v>
      </c>
      <c r="CN104" s="72">
        <f t="shared" si="29"/>
        <v>1660</v>
      </c>
      <c r="CO104" s="72">
        <f t="shared" si="30"/>
        <v>698.24215900802324</v>
      </c>
      <c r="CP104" s="72">
        <f t="shared" si="31"/>
        <v>698.24215900802324</v>
      </c>
      <c r="CQ104" s="45">
        <f t="shared" si="32"/>
        <v>2.9969879518072289</v>
      </c>
      <c r="CR104" s="45">
        <f t="shared" si="33"/>
        <v>3.4494036249206399</v>
      </c>
      <c r="CS104" s="45">
        <f t="shared" si="34"/>
        <v>3.4494036249206399</v>
      </c>
      <c r="CT104" s="72">
        <f t="shared" si="35"/>
        <v>0</v>
      </c>
      <c r="CU104" s="72">
        <f t="shared" si="36"/>
        <v>0</v>
      </c>
      <c r="CV104" s="72">
        <f t="shared" si="37"/>
        <v>0</v>
      </c>
      <c r="CW104" s="72">
        <f t="shared" si="38"/>
        <v>1660</v>
      </c>
      <c r="CX104" s="70">
        <f t="shared" si="39"/>
        <v>0</v>
      </c>
    </row>
    <row r="105" spans="79:102">
      <c r="CB105" s="63">
        <v>29</v>
      </c>
      <c r="CC105" s="63">
        <f>data!$F50</f>
        <v>43</v>
      </c>
      <c r="CD105" s="63">
        <f>data!$G50</f>
        <v>0</v>
      </c>
      <c r="CE105" s="70">
        <f t="shared" si="20"/>
        <v>8433.3333333333339</v>
      </c>
      <c r="CF105" s="71">
        <f t="shared" si="21"/>
        <v>1</v>
      </c>
      <c r="CG105" s="71">
        <f t="shared" si="22"/>
        <v>1</v>
      </c>
      <c r="CH105" s="71">
        <f t="shared" si="23"/>
        <v>0</v>
      </c>
      <c r="CI105" s="71">
        <f t="shared" si="24"/>
        <v>0</v>
      </c>
      <c r="CJ105" s="72">
        <f t="shared" si="25"/>
        <v>4900</v>
      </c>
      <c r="CK105" s="72">
        <f t="shared" si="26"/>
        <v>2374.558960074281</v>
      </c>
      <c r="CL105" s="72">
        <f t="shared" si="27"/>
        <v>2374.558960074281</v>
      </c>
      <c r="CM105" s="70">
        <f t="shared" si="28"/>
        <v>0</v>
      </c>
      <c r="CN105" s="72">
        <f t="shared" si="29"/>
        <v>1680</v>
      </c>
      <c r="CO105" s="72">
        <f t="shared" si="30"/>
        <v>707.33770970094804</v>
      </c>
      <c r="CP105" s="72">
        <f t="shared" si="31"/>
        <v>707.33770970094804</v>
      </c>
      <c r="CQ105" s="45">
        <f t="shared" si="32"/>
        <v>2.9166666666666665</v>
      </c>
      <c r="CR105" s="45">
        <f t="shared" si="33"/>
        <v>3.3570371372935983</v>
      </c>
      <c r="CS105" s="45">
        <f t="shared" si="34"/>
        <v>3.3570371372935983</v>
      </c>
      <c r="CT105" s="72">
        <f t="shared" si="35"/>
        <v>0</v>
      </c>
      <c r="CU105" s="72">
        <f t="shared" si="36"/>
        <v>0</v>
      </c>
      <c r="CV105" s="72">
        <f t="shared" si="37"/>
        <v>0</v>
      </c>
      <c r="CW105" s="72">
        <f t="shared" si="38"/>
        <v>1680</v>
      </c>
      <c r="CX105" s="70">
        <f t="shared" si="39"/>
        <v>0</v>
      </c>
    </row>
    <row r="106" spans="79:102">
      <c r="CB106" s="63">
        <v>30</v>
      </c>
      <c r="CC106" s="63">
        <f>data!$F51</f>
        <v>44</v>
      </c>
      <c r="CD106" s="63">
        <f>data!$G51</f>
        <v>0</v>
      </c>
      <c r="CE106" s="70">
        <f t="shared" si="20"/>
        <v>8800</v>
      </c>
      <c r="CF106" s="71">
        <f t="shared" si="21"/>
        <v>1</v>
      </c>
      <c r="CG106" s="71">
        <f t="shared" si="22"/>
        <v>1</v>
      </c>
      <c r="CH106" s="71">
        <f t="shared" si="23"/>
        <v>0</v>
      </c>
      <c r="CI106" s="71">
        <f t="shared" si="24"/>
        <v>0</v>
      </c>
      <c r="CJ106" s="72">
        <f t="shared" si="25"/>
        <v>4825</v>
      </c>
      <c r="CK106" s="72">
        <f t="shared" si="26"/>
        <v>2340.5988857938723</v>
      </c>
      <c r="CL106" s="72">
        <f t="shared" si="27"/>
        <v>2340.5988857938723</v>
      </c>
      <c r="CM106" s="70">
        <f t="shared" si="28"/>
        <v>0</v>
      </c>
      <c r="CN106" s="72">
        <f t="shared" si="29"/>
        <v>1700</v>
      </c>
      <c r="CO106" s="72">
        <f t="shared" si="30"/>
        <v>716.43326039387284</v>
      </c>
      <c r="CP106" s="72">
        <f t="shared" si="31"/>
        <v>716.43326039387284</v>
      </c>
      <c r="CQ106" s="45">
        <f t="shared" si="32"/>
        <v>2.8382352941176472</v>
      </c>
      <c r="CR106" s="45">
        <f t="shared" si="33"/>
        <v>3.2670159457799088</v>
      </c>
      <c r="CS106" s="45">
        <f t="shared" si="34"/>
        <v>3.2670159457799088</v>
      </c>
      <c r="CT106" s="72">
        <f t="shared" si="35"/>
        <v>0</v>
      </c>
      <c r="CU106" s="72">
        <f t="shared" si="36"/>
        <v>0</v>
      </c>
      <c r="CV106" s="72">
        <f t="shared" si="37"/>
        <v>0</v>
      </c>
      <c r="CW106" s="72">
        <f t="shared" si="38"/>
        <v>1700</v>
      </c>
      <c r="CX106" s="70">
        <f t="shared" si="39"/>
        <v>0</v>
      </c>
    </row>
    <row r="107" spans="79:102">
      <c r="CB107" s="63">
        <v>31</v>
      </c>
      <c r="CC107" s="63">
        <f>data!$F52</f>
        <v>45</v>
      </c>
      <c r="CD107" s="63">
        <f>data!$G52</f>
        <v>0</v>
      </c>
      <c r="CE107" s="70">
        <f t="shared" si="20"/>
        <v>9166.6666666666661</v>
      </c>
      <c r="CF107" s="71">
        <f t="shared" si="21"/>
        <v>1</v>
      </c>
      <c r="CG107" s="71">
        <f t="shared" si="22"/>
        <v>1</v>
      </c>
      <c r="CH107" s="71">
        <f t="shared" si="23"/>
        <v>0</v>
      </c>
      <c r="CI107" s="71">
        <f t="shared" si="24"/>
        <v>0</v>
      </c>
      <c r="CJ107" s="72">
        <f t="shared" si="25"/>
        <v>4750</v>
      </c>
      <c r="CK107" s="72">
        <f t="shared" si="26"/>
        <v>2306.6388115134637</v>
      </c>
      <c r="CL107" s="72">
        <f t="shared" si="27"/>
        <v>2306.6388115134637</v>
      </c>
      <c r="CM107" s="70">
        <f t="shared" si="28"/>
        <v>0</v>
      </c>
      <c r="CN107" s="72">
        <f t="shared" si="29"/>
        <v>1720</v>
      </c>
      <c r="CO107" s="72">
        <f t="shared" si="30"/>
        <v>725.52881108679776</v>
      </c>
      <c r="CP107" s="72">
        <f t="shared" si="31"/>
        <v>725.52881108679776</v>
      </c>
      <c r="CQ107" s="45">
        <f t="shared" si="32"/>
        <v>2.7616279069767442</v>
      </c>
      <c r="CR107" s="45">
        <f t="shared" si="33"/>
        <v>3.1792518453653962</v>
      </c>
      <c r="CS107" s="45">
        <f t="shared" si="34"/>
        <v>3.1792518453653962</v>
      </c>
      <c r="CT107" s="72">
        <f t="shared" si="35"/>
        <v>0</v>
      </c>
      <c r="CU107" s="72">
        <f t="shared" si="36"/>
        <v>0</v>
      </c>
      <c r="CV107" s="72">
        <f t="shared" si="37"/>
        <v>0</v>
      </c>
      <c r="CW107" s="72">
        <f t="shared" si="38"/>
        <v>1720</v>
      </c>
      <c r="CX107" s="70">
        <f t="shared" si="39"/>
        <v>0</v>
      </c>
    </row>
    <row r="108" spans="79:102">
      <c r="CB108" s="63"/>
      <c r="CC108" s="63"/>
      <c r="CD108" s="63">
        <f>SUM(CD77:CD107)</f>
        <v>2080</v>
      </c>
      <c r="CE108" s="63"/>
      <c r="CF108" s="63"/>
      <c r="CG108" s="63"/>
      <c r="CH108" s="63"/>
      <c r="CI108" s="63"/>
      <c r="CJ108" s="63"/>
      <c r="CK108" s="63"/>
      <c r="CM108" s="62">
        <f>SUM(CM77:CM107)</f>
        <v>4545616.666666666</v>
      </c>
      <c r="CN108" s="44"/>
      <c r="CO108" s="44"/>
      <c r="CP108" s="44"/>
      <c r="CQ108" s="44"/>
      <c r="CR108" s="44"/>
      <c r="CS108" s="44"/>
      <c r="CT108" s="68"/>
      <c r="CU108" s="68"/>
      <c r="CV108" s="68"/>
      <c r="CX108" s="77">
        <f>SUM(CX77:CX107)</f>
        <v>977708.81467038998</v>
      </c>
    </row>
    <row r="110" spans="79:102">
      <c r="CA110" s="28" t="s">
        <v>97</v>
      </c>
      <c r="CF110" s="29" t="str">
        <f>data!I7</f>
        <v>International</v>
      </c>
      <c r="CQ110" s="30"/>
    </row>
    <row r="111" spans="79:102">
      <c r="CA111" s="28"/>
      <c r="CQ111" s="30"/>
    </row>
    <row r="112" spans="79:102">
      <c r="CA112" s="28"/>
      <c r="CB112" s="37" t="s">
        <v>262</v>
      </c>
      <c r="CC112" s="38">
        <f>'Multi-stage Capacity unit'!$H$32</f>
        <v>4800</v>
      </c>
      <c r="CD112" s="39"/>
      <c r="CE112" s="40" t="s">
        <v>0</v>
      </c>
      <c r="CF112" s="41">
        <f>$CM$163/$CX$163</f>
        <v>3.9629309211920294</v>
      </c>
      <c r="CO112" s="42"/>
      <c r="CQ112" s="43"/>
    </row>
    <row r="113" spans="79:95">
      <c r="CA113" s="28"/>
      <c r="CQ113" s="43"/>
    </row>
    <row r="114" spans="79:95" ht="15">
      <c r="CA114" s="28"/>
      <c r="CC114" s="44" t="s">
        <v>263</v>
      </c>
      <c r="CD114" s="44" t="s">
        <v>264</v>
      </c>
      <c r="CE114" s="44" t="s">
        <v>265</v>
      </c>
      <c r="CG114" s="44" t="s">
        <v>19</v>
      </c>
      <c r="CH114" s="61">
        <f>IF('Multi-stage Capacity unit'!$BD$31="Required test",data!$I$14,IF('Multi-stage Capacity unit'!$BD$35="Not Measure",IF('Multi-stage Capacity unit'!$BD$48="Default",data!$I$14,$CK$118),IF('Multi-stage Capacity unit'!$BD$50="Default",data!$I$14,$CM$118)))</f>
        <v>0.27</v>
      </c>
      <c r="CK114" s="40" t="s">
        <v>79</v>
      </c>
      <c r="CL114" s="40" t="s">
        <v>80</v>
      </c>
      <c r="CM114" s="40" t="s">
        <v>77</v>
      </c>
      <c r="CN114" s="40" t="s">
        <v>78</v>
      </c>
    </row>
    <row r="115" spans="79:95">
      <c r="CA115" s="28"/>
      <c r="CB115" s="51" t="s">
        <v>18</v>
      </c>
      <c r="CC115" s="52">
        <f>'Multi-stage Capacity unit'!$H$32</f>
        <v>4800</v>
      </c>
      <c r="CD115" s="52">
        <f>IF('Multi-stage Capacity unit'!$BD$31="Required test",$CD$120*$CH$117,IF('Multi-stage Capacity unit'!$BD$38="Default",$CD$120*$CH$117,'Multi-stage Capacity unit'!$H$33))</f>
        <v>2233.4</v>
      </c>
      <c r="CE115" s="52">
        <f>IF('Multi-stage Capacity unit'!$BD$31="Required test",$CD$115,IF('Multi-stage Capacity unit'!$BD$35="Not Measure",$CD$115,IF('Multi-stage Capacity unit'!$BD$39="Default",$CE$120*$CH$117,'Multi-stage Capacity unit'!$H$34)))</f>
        <v>2233.4</v>
      </c>
      <c r="CG115" s="40" t="s">
        <v>189</v>
      </c>
      <c r="CH115" s="44">
        <f>data!$I$15</f>
        <v>1.077</v>
      </c>
      <c r="CJ115" s="40" t="s">
        <v>18</v>
      </c>
      <c r="CK115" s="40">
        <f>'Multi-stage Capacity unit'!$H$51</f>
        <v>2300</v>
      </c>
      <c r="CL115" s="40">
        <f>'Multi-stage Capacity unit'!$H$50</f>
        <v>3200</v>
      </c>
      <c r="CM115" s="40">
        <f>'Multi-stage Capacity unit'!$H$53</f>
        <v>2500</v>
      </c>
      <c r="CN115" s="40">
        <f>'Multi-stage Capacity unit'!$H$52</f>
        <v>3500</v>
      </c>
    </row>
    <row r="116" spans="79:95">
      <c r="CA116" s="28"/>
      <c r="CB116" s="51" t="s">
        <v>83</v>
      </c>
      <c r="CC116" s="52">
        <f>'Multi-stage Capacity unit'!$L$32</f>
        <v>1850</v>
      </c>
      <c r="CD116" s="52">
        <f>IF('Multi-stage Capacity unit'!$BD$31="Required test",$CD$121*$CH$118,IF('Multi-stage Capacity unit'!$BD$38="Default",$CD$121*$CH$118,'Multi-stage Capacity unit'!$L$33))</f>
        <v>750</v>
      </c>
      <c r="CE116" s="52">
        <f>IF('Multi-stage Capacity unit'!$BD$31="Required test",$CD$116,IF('Multi-stage Capacity unit'!$BD$35="Not Measure",$CD$116,IF('Multi-stage Capacity unit'!$BD$39="Default",$CE$121*$CH$118,'Multi-stage Capacity unit'!$L$34)))</f>
        <v>750</v>
      </c>
      <c r="CG116" s="40" t="s">
        <v>266</v>
      </c>
      <c r="CH116" s="44">
        <f>data!$I$16</f>
        <v>0.91400000000000003</v>
      </c>
      <c r="CJ116" s="40" t="s">
        <v>1</v>
      </c>
      <c r="CK116" s="40">
        <f>'Multi-stage Capacity unit'!$L$51</f>
        <v>490</v>
      </c>
      <c r="CL116" s="40">
        <f>'Multi-stage Capacity unit'!$L$50</f>
        <v>600</v>
      </c>
      <c r="CM116" s="40">
        <f>'Multi-stage Capacity unit'!$L$53</f>
        <v>500</v>
      </c>
      <c r="CN116" s="40">
        <f>'Multi-stage Capacity unit'!$L$52</f>
        <v>580</v>
      </c>
    </row>
    <row r="117" spans="79:95">
      <c r="CA117" s="28"/>
      <c r="CB117" s="44" t="s">
        <v>215</v>
      </c>
      <c r="CC117" s="61">
        <f>$CC$115/$CC$116</f>
        <v>2.5945945945945947</v>
      </c>
      <c r="CD117" s="61">
        <f>$CD$115/$CD$116</f>
        <v>2.9778666666666669</v>
      </c>
      <c r="CE117" s="61">
        <f>$CE$115/$CE$116</f>
        <v>2.9778666666666669</v>
      </c>
      <c r="CG117" s="40" t="s">
        <v>267</v>
      </c>
      <c r="CH117" s="44">
        <f>data!$I$17</f>
        <v>0.85899999999999999</v>
      </c>
      <c r="CJ117" s="40" t="s">
        <v>210</v>
      </c>
      <c r="CK117" s="41">
        <f>$CK$115/$CK$116</f>
        <v>4.6938775510204085</v>
      </c>
      <c r="CL117" s="41">
        <f>$CL$115/$CL$116</f>
        <v>5.333333333333333</v>
      </c>
      <c r="CM117" s="41">
        <f>$CM$115/$CM$116</f>
        <v>5</v>
      </c>
      <c r="CN117" s="41">
        <f>$CN$115/$CN$116</f>
        <v>6.0344827586206895</v>
      </c>
    </row>
    <row r="118" spans="79:95">
      <c r="CA118" s="28"/>
      <c r="CB118" s="44"/>
      <c r="CG118" s="40" t="s">
        <v>268</v>
      </c>
      <c r="CH118" s="44">
        <f>data!$I$18</f>
        <v>1.25</v>
      </c>
      <c r="CJ118" s="40" t="s">
        <v>96</v>
      </c>
      <c r="CK118" s="150">
        <f>(1-($CK$117/$CL$117))/(1-($CK$115/$CL$115))</f>
        <v>0.42630385487528322</v>
      </c>
      <c r="CL118" s="150"/>
      <c r="CM118" s="150">
        <f>(1-($CM$117/$CN$117))/(1-($CM$115/$CN$115))</f>
        <v>0.59999999999999987</v>
      </c>
      <c r="CN118" s="150"/>
    </row>
    <row r="119" spans="79:95" ht="15">
      <c r="CA119" s="28"/>
      <c r="CB119" s="44"/>
      <c r="CC119" s="44" t="s">
        <v>269</v>
      </c>
      <c r="CD119" s="44" t="s">
        <v>270</v>
      </c>
      <c r="CE119" s="44" t="s">
        <v>136</v>
      </c>
      <c r="CG119" s="44" t="s">
        <v>271</v>
      </c>
      <c r="CH119" s="63">
        <f>data!$I$11</f>
        <v>20</v>
      </c>
    </row>
    <row r="120" spans="79:95" ht="15">
      <c r="CA120" s="28"/>
      <c r="CB120" s="51" t="s">
        <v>18</v>
      </c>
      <c r="CC120" s="52">
        <f>'Multi-stage Capacity unit'!$H$38</f>
        <v>5500</v>
      </c>
      <c r="CD120" s="52">
        <f>'Multi-stage Capacity unit'!$H$39</f>
        <v>2600</v>
      </c>
      <c r="CE120" s="52">
        <f>IF('Multi-stage Capacity unit'!$BD$31="Required test",$CD$120,IF('Multi-stage Capacity unit'!$BD$35="Not Measure",$CD$120,IF('Multi-stage Capacity unit'!$BD$42="Default",$CD$120,'Multi-stage Capacity unit'!$H$40)))</f>
        <v>2600</v>
      </c>
      <c r="CG120" s="44" t="s">
        <v>243</v>
      </c>
      <c r="CH120" s="63">
        <f>data!$I$12</f>
        <v>46</v>
      </c>
      <c r="CQ120" s="44"/>
    </row>
    <row r="121" spans="79:95">
      <c r="CA121" s="28"/>
      <c r="CB121" s="51" t="s">
        <v>83</v>
      </c>
      <c r="CC121" s="52">
        <f>'Multi-stage Capacity unit'!$L$38</f>
        <v>1520</v>
      </c>
      <c r="CD121" s="52">
        <f>'Multi-stage Capacity unit'!$L$39</f>
        <v>600</v>
      </c>
      <c r="CE121" s="52">
        <f>IF('Multi-stage Capacity unit'!$BD$31="Required test",$CD$121,IF('Multi-stage Capacity unit'!$BD$35="Not Measure",$CD$121,IF('Multi-stage Capacity unit'!$BD$42="Default",$CD$121,'Multi-stage Capacity unit'!$L$40)))</f>
        <v>600</v>
      </c>
    </row>
    <row r="122" spans="79:95">
      <c r="CA122" s="28"/>
      <c r="CB122" s="44" t="s">
        <v>215</v>
      </c>
      <c r="CC122" s="61">
        <f>$CC$120/$CC$121</f>
        <v>3.6184210526315788</v>
      </c>
      <c r="CD122" s="61">
        <f>$CD$120/$CD$121</f>
        <v>4.333333333333333</v>
      </c>
      <c r="CE122" s="61">
        <f>$CE$120/$CE$121</f>
        <v>4.333333333333333</v>
      </c>
    </row>
    <row r="123" spans="79:95">
      <c r="CA123" s="28"/>
      <c r="CB123" s="44"/>
      <c r="CC123" s="44"/>
      <c r="CD123" s="44"/>
      <c r="CE123" s="63"/>
    </row>
    <row r="124" spans="79:95" ht="15">
      <c r="CA124" s="28"/>
      <c r="CB124" s="44"/>
      <c r="CC124" s="44" t="s">
        <v>272</v>
      </c>
      <c r="CD124" s="44" t="s">
        <v>150</v>
      </c>
      <c r="CE124" s="44" t="s">
        <v>214</v>
      </c>
    </row>
    <row r="125" spans="79:95">
      <c r="CA125" s="28"/>
      <c r="CB125" s="51" t="s">
        <v>18</v>
      </c>
      <c r="CC125" s="52">
        <f>IF('Multi-stage Capacity unit'!$BD$31="Required test",$CC$120*$CH$115,IF('Multi-stage Capacity unit'!$BD$43="Default",$CC$120*$CH$115,'Multi-stage Capacity unit'!$H$44))</f>
        <v>5923.5</v>
      </c>
      <c r="CD125" s="52">
        <f>IF('Multi-stage Capacity unit'!$BD$31="Required test",$CD$120*$CH$115,IF('Multi-stage Capacity unit'!$BD$44="Default",$CD$120*$CH$115,'Multi-stage Capacity unit'!$H$45))</f>
        <v>2800.2</v>
      </c>
      <c r="CE125" s="52">
        <f>IF('Multi-stage Capacity unit'!$BD$31="Required test",$CD$125,IF('Multi-stage Capacity unit'!$BD$35="Not Measure",$CD$125,IF('Multi-stage Capacity unit'!$BD$45="Default",$CE$120*$CH$115,'Multi-stage Capacity unit'!$H$46)))</f>
        <v>2800.2</v>
      </c>
    </row>
    <row r="126" spans="79:95">
      <c r="CA126" s="28"/>
      <c r="CB126" s="51" t="s">
        <v>83</v>
      </c>
      <c r="CC126" s="52">
        <f>IF('Multi-stage Capacity unit'!$BD$31="Required test",$CC$121*$CH$116,IF('Multi-stage Capacity unit'!$BD$43="Default",$CC$121*$CH$116,'Multi-stage Capacity unit'!$L$44))</f>
        <v>1389.28</v>
      </c>
      <c r="CD126" s="52">
        <f>IF('Multi-stage Capacity unit'!$BD$31="Required test",$CD$121*$CH$116,IF('Multi-stage Capacity unit'!$BD$44="Default",$CD$121*$CH$116,'Multi-stage Capacity unit'!$L$45))</f>
        <v>548.4</v>
      </c>
      <c r="CE126" s="52">
        <f>IF('Multi-stage Capacity unit'!$BD$31="Required test",$CD$126,IF('Multi-stage Capacity unit'!$BD$35="Not Measure",$CD$126,IF('Multi-stage Capacity unit'!$BD$45="Default",$CE$121*$CH$116,'Multi-stage Capacity unit'!$L$46)))</f>
        <v>548.4</v>
      </c>
    </row>
    <row r="127" spans="79:95">
      <c r="CA127" s="28"/>
      <c r="CB127" s="44" t="s">
        <v>215</v>
      </c>
      <c r="CC127" s="61">
        <f>$CC$125/$CC$126</f>
        <v>4.2637193366348036</v>
      </c>
      <c r="CD127" s="61">
        <f>$CD$125/$CD$126</f>
        <v>5.1061269146608312</v>
      </c>
      <c r="CE127" s="61">
        <f>$CE$125/$CE$126</f>
        <v>5.1061269146608312</v>
      </c>
    </row>
    <row r="128" spans="79:95">
      <c r="CA128" s="28"/>
    </row>
    <row r="129" spans="79:102">
      <c r="CA129" s="28"/>
      <c r="CB129" s="97" t="s">
        <v>5</v>
      </c>
      <c r="CC129" s="98" t="s">
        <v>7</v>
      </c>
      <c r="CD129" s="97" t="s">
        <v>8</v>
      </c>
      <c r="CE129" s="66" t="s">
        <v>9</v>
      </c>
      <c r="CF129" s="66" t="s">
        <v>10</v>
      </c>
      <c r="CG129" s="99" t="s">
        <v>20</v>
      </c>
      <c r="CH129" s="99"/>
      <c r="CI129" s="99"/>
      <c r="CJ129" s="99" t="s">
        <v>11</v>
      </c>
      <c r="CK129" s="99"/>
      <c r="CL129" s="99"/>
      <c r="CM129" s="67" t="s">
        <v>2</v>
      </c>
      <c r="CN129" s="99" t="s">
        <v>13</v>
      </c>
      <c r="CO129" s="99"/>
      <c r="CP129" s="99"/>
      <c r="CQ129" s="99" t="s">
        <v>16</v>
      </c>
      <c r="CR129" s="99"/>
      <c r="CS129" s="99"/>
      <c r="CT129" s="99" t="s">
        <v>17</v>
      </c>
      <c r="CU129" s="99"/>
      <c r="CV129" s="99"/>
      <c r="CW129" s="99"/>
      <c r="CX129" s="67" t="s">
        <v>3</v>
      </c>
    </row>
    <row r="130" spans="79:102">
      <c r="CB130" s="97"/>
      <c r="CC130" s="98"/>
      <c r="CD130" s="97"/>
      <c r="CE130" s="67" t="s">
        <v>246</v>
      </c>
      <c r="CF130" s="96" t="s">
        <v>273</v>
      </c>
      <c r="CG130" s="96" t="s">
        <v>155</v>
      </c>
      <c r="CH130" s="96" t="s">
        <v>274</v>
      </c>
      <c r="CI130" s="96" t="s">
        <v>275</v>
      </c>
      <c r="CJ130" s="68" t="s">
        <v>4</v>
      </c>
      <c r="CK130" s="68" t="s">
        <v>14</v>
      </c>
      <c r="CL130" s="68" t="s">
        <v>12</v>
      </c>
      <c r="CM130" s="96" t="s">
        <v>221</v>
      </c>
      <c r="CN130" s="68" t="s">
        <v>4</v>
      </c>
      <c r="CO130" s="68" t="s">
        <v>14</v>
      </c>
      <c r="CP130" s="68" t="s">
        <v>12</v>
      </c>
      <c r="CQ130" s="68" t="s">
        <v>4</v>
      </c>
      <c r="CR130" s="68" t="s">
        <v>14</v>
      </c>
      <c r="CS130" s="68" t="s">
        <v>98</v>
      </c>
      <c r="CT130" s="68" t="s">
        <v>276</v>
      </c>
      <c r="CU130" s="68" t="s">
        <v>250</v>
      </c>
      <c r="CV130" s="68" t="s">
        <v>223</v>
      </c>
      <c r="CW130" s="68" t="s">
        <v>84</v>
      </c>
      <c r="CX130" s="96" t="s">
        <v>277</v>
      </c>
    </row>
    <row r="131" spans="79:102" ht="15">
      <c r="CB131" s="63" t="s">
        <v>6</v>
      </c>
      <c r="CC131" s="63" t="s">
        <v>225</v>
      </c>
      <c r="CD131" s="63" t="s">
        <v>226</v>
      </c>
      <c r="CE131" s="68" t="s">
        <v>15</v>
      </c>
      <c r="CF131" s="99"/>
      <c r="CG131" s="99"/>
      <c r="CH131" s="96"/>
      <c r="CI131" s="99"/>
      <c r="CJ131" s="67" t="s">
        <v>253</v>
      </c>
      <c r="CK131" s="67" t="s">
        <v>254</v>
      </c>
      <c r="CL131" s="67" t="s">
        <v>278</v>
      </c>
      <c r="CM131" s="96"/>
      <c r="CN131" s="68" t="s">
        <v>279</v>
      </c>
      <c r="CO131" s="68" t="s">
        <v>280</v>
      </c>
      <c r="CP131" s="68" t="s">
        <v>281</v>
      </c>
      <c r="CQ131" s="67" t="s">
        <v>282</v>
      </c>
      <c r="CR131" s="67" t="s">
        <v>283</v>
      </c>
      <c r="CS131" s="67" t="s">
        <v>260</v>
      </c>
      <c r="CT131" s="67" t="s">
        <v>284</v>
      </c>
      <c r="CU131" s="67" t="s">
        <v>285</v>
      </c>
      <c r="CV131" s="67" t="s">
        <v>286</v>
      </c>
      <c r="CW131" s="67" t="s">
        <v>230</v>
      </c>
      <c r="CX131" s="96"/>
    </row>
    <row r="132" spans="79:102">
      <c r="CB132" s="63">
        <v>1</v>
      </c>
      <c r="CC132" s="63">
        <f>data!$I22</f>
        <v>20</v>
      </c>
      <c r="CD132" s="63">
        <f>data!$J22</f>
        <v>0</v>
      </c>
      <c r="CE132" s="70">
        <f t="shared" ref="CE132:CE162" si="40">$CC$112*($CC132-$CH$119)/($CH$120-$CH$119)</f>
        <v>0</v>
      </c>
      <c r="CF132" s="71">
        <f t="shared" ref="CF132:CF162" si="41">1-$CH$114*(1-$CG132)</f>
        <v>0.73</v>
      </c>
      <c r="CG132" s="71">
        <f t="shared" ref="CG132:CG162" si="42">IF($CE132&lt;$CL132,$CE132/$CL132,1)</f>
        <v>0</v>
      </c>
      <c r="CH132" s="71">
        <f t="shared" ref="CH132:CH162" si="43">IF($CK132-$CL132=0,0,IF(($CK132-$CE132)/($CK132-$CL132)&gt;1,1,IF(($CK132-$CE132)/($CK132-$CL132)&lt;0,0,($CK132-$CE132)/($CK132-$CL132))))</f>
        <v>0</v>
      </c>
      <c r="CI132" s="71">
        <f t="shared" ref="CI132:CI162" si="44">IF(($CJ132-$CE132)/($CJ132-$CK132)&gt;1,1,IF(($CJ132-$CE132)/($CJ132-$CK132)&lt;0,0,($CJ132-$CE132)/($CJ132-$CK132)))</f>
        <v>1</v>
      </c>
      <c r="CJ132" s="72">
        <f t="shared" ref="CJ132:CJ162" si="45">IF($CC132&lt;=35,$CC$120+($CC$125-$CC$120)/(35-29)*(35-$CC132),$CC$115+($CC$120-$CC$115)/(46-35)*(46-$CC132))</f>
        <v>6558.75</v>
      </c>
      <c r="CK132" s="72">
        <f t="shared" ref="CK132:CK162" si="46">IF($CC132&lt;=35,$CD$120+($CD$125-$CD$120)/(35-29)*(35-$CC132),$CD$115+($CD$120-$CD$115)/(46-35)*(46-$CC132))</f>
        <v>3100.4999999999995</v>
      </c>
      <c r="CL132" s="72">
        <f t="shared" ref="CL132:CL162" si="47">IF($CC132&lt;=35,$CE$120+($CE$125-$CE$120)/(35-29)*(35-$CC132),$CE$115+($CE$120-$CE$115)/(46-35)*(46-$CC132))</f>
        <v>3100.4999999999995</v>
      </c>
      <c r="CM132" s="70">
        <f t="shared" ref="CM132:CM162" si="48">IF($CE132&lt;$CJ132,$CE132*$CD132,$CJ132*$CD132)</f>
        <v>0</v>
      </c>
      <c r="CN132" s="72">
        <f t="shared" ref="CN132:CN162" si="49">IF($CC132&lt;=35,$CC$121+($CC$126-$CC$121)/(35-29)*(35-$CC132),$CC$116+($CC$121-$CC$116)/(46-35)*(46-$CC132))</f>
        <v>1193.1999999999998</v>
      </c>
      <c r="CO132" s="72">
        <f t="shared" ref="CO132:CO162" si="50">IF($CC132&lt;=35,$CD$121+($CD$126-$CD$121)/(35-29)*(35-$CC132),$CD$116+($CD$121-$CD$116)/(46-35)*(46-$CC132))</f>
        <v>470.99999999999994</v>
      </c>
      <c r="CP132" s="72">
        <f t="shared" ref="CP132:CP162" si="51">IF($CC132&lt;=35,$CE$121+(($CE$126-$CE$121)/(35-29)*(35-$CC132)),($CE$116+($CE$121-$CE$116)/(46-35)*(46-$CC132)))</f>
        <v>470.99999999999994</v>
      </c>
      <c r="CQ132" s="45">
        <f t="shared" ref="CQ132:CQ162" si="52">$CJ132/$CN132</f>
        <v>5.4967733825008391</v>
      </c>
      <c r="CR132" s="45">
        <f t="shared" ref="CR132:CR162" si="53">$CK132/$CO132</f>
        <v>6.5828025477707008</v>
      </c>
      <c r="CS132" s="45">
        <f t="shared" ref="CS132:CS162" si="54">$CL132/$CP132</f>
        <v>6.5828025477707008</v>
      </c>
      <c r="CT132" s="72">
        <f t="shared" ref="CT132:CT162" si="55">IF($CE132&lt;=$CL132,$CG132*$CP132/$CF132,0)</f>
        <v>0</v>
      </c>
      <c r="CU132" s="72">
        <f t="shared" ref="CU132:CU162" si="56">IF($CL132&lt;$CE132,IF($CE132&lt;=$CK132,$CH132*$CP132+(1-$CH132)*$CO132,0),0)</f>
        <v>0</v>
      </c>
      <c r="CV132" s="72">
        <f t="shared" ref="CV132:CV162" si="57">IF($CK132&lt;$CE132,IF($CE132&lt;=$CJ132,$CI132*$CO132+(1-$CI132)*$CN132,0),0)</f>
        <v>0</v>
      </c>
      <c r="CW132" s="72">
        <f t="shared" ref="CW132:CW162" si="58">IF($CE132&gt;$CJ132,$CN132,0)</f>
        <v>0</v>
      </c>
      <c r="CX132" s="70">
        <f t="shared" ref="CX132:CX162" si="59">IF($CF132=0,0,$CT132*$CD132+$CU132*$CD132+$CV132*$CD132+$CW132*$CD132)</f>
        <v>0</v>
      </c>
    </row>
    <row r="133" spans="79:102">
      <c r="CB133" s="63">
        <v>2</v>
      </c>
      <c r="CC133" s="63">
        <f>data!$I23</f>
        <v>21</v>
      </c>
      <c r="CD133" s="63">
        <f>data!$J23</f>
        <v>307</v>
      </c>
      <c r="CE133" s="70">
        <f t="shared" si="40"/>
        <v>184.61538461538461</v>
      </c>
      <c r="CF133" s="71">
        <f t="shared" si="41"/>
        <v>0.74625170751608039</v>
      </c>
      <c r="CG133" s="71">
        <f t="shared" si="42"/>
        <v>6.019150931881604E-2</v>
      </c>
      <c r="CH133" s="71">
        <f t="shared" si="43"/>
        <v>0</v>
      </c>
      <c r="CI133" s="71">
        <f t="shared" si="44"/>
        <v>1</v>
      </c>
      <c r="CJ133" s="72">
        <f t="shared" si="45"/>
        <v>6488.166666666667</v>
      </c>
      <c r="CK133" s="72">
        <f t="shared" si="46"/>
        <v>3067.1333333333328</v>
      </c>
      <c r="CL133" s="72">
        <f t="shared" si="47"/>
        <v>3067.1333333333328</v>
      </c>
      <c r="CM133" s="70">
        <f t="shared" si="48"/>
        <v>56676.923076923078</v>
      </c>
      <c r="CN133" s="72">
        <f t="shared" si="49"/>
        <v>1214.9866666666667</v>
      </c>
      <c r="CO133" s="72">
        <f t="shared" si="50"/>
        <v>479.59999999999997</v>
      </c>
      <c r="CP133" s="72">
        <f t="shared" si="51"/>
        <v>479.59999999999997</v>
      </c>
      <c r="CQ133" s="45">
        <f t="shared" si="52"/>
        <v>5.340113471752777</v>
      </c>
      <c r="CR133" s="45">
        <f t="shared" si="53"/>
        <v>6.3951904364748398</v>
      </c>
      <c r="CS133" s="45">
        <f t="shared" si="54"/>
        <v>6.3951904364748398</v>
      </c>
      <c r="CT133" s="72">
        <f t="shared" si="55"/>
        <v>38.683794728445726</v>
      </c>
      <c r="CU133" s="72">
        <f t="shared" si="56"/>
        <v>0</v>
      </c>
      <c r="CV133" s="72">
        <f t="shared" si="57"/>
        <v>0</v>
      </c>
      <c r="CW133" s="72">
        <f t="shared" si="58"/>
        <v>0</v>
      </c>
      <c r="CX133" s="70">
        <f t="shared" si="59"/>
        <v>11875.924981632837</v>
      </c>
    </row>
    <row r="134" spans="79:102">
      <c r="CB134" s="63">
        <v>3</v>
      </c>
      <c r="CC134" s="63">
        <f>data!$I24</f>
        <v>22</v>
      </c>
      <c r="CD134" s="63">
        <f>data!$J24</f>
        <v>311</v>
      </c>
      <c r="CE134" s="70">
        <f t="shared" si="40"/>
        <v>369.23076923076923</v>
      </c>
      <c r="CF134" s="71">
        <f t="shared" si="41"/>
        <v>0.762860901528015</v>
      </c>
      <c r="CG134" s="71">
        <f t="shared" si="42"/>
        <v>0.12170704269635192</v>
      </c>
      <c r="CH134" s="71">
        <f t="shared" si="43"/>
        <v>0</v>
      </c>
      <c r="CI134" s="71">
        <f t="shared" si="44"/>
        <v>1</v>
      </c>
      <c r="CJ134" s="72">
        <f t="shared" si="45"/>
        <v>6417.583333333333</v>
      </c>
      <c r="CK134" s="72">
        <f t="shared" si="46"/>
        <v>3033.7666666666664</v>
      </c>
      <c r="CL134" s="72">
        <f t="shared" si="47"/>
        <v>3033.7666666666664</v>
      </c>
      <c r="CM134" s="70">
        <f t="shared" si="48"/>
        <v>114830.76923076923</v>
      </c>
      <c r="CN134" s="72">
        <f t="shared" si="49"/>
        <v>1236.7733333333333</v>
      </c>
      <c r="CO134" s="72">
        <f t="shared" si="50"/>
        <v>488.19999999999993</v>
      </c>
      <c r="CP134" s="72">
        <f t="shared" si="51"/>
        <v>488.19999999999993</v>
      </c>
      <c r="CQ134" s="45">
        <f t="shared" si="52"/>
        <v>5.1889729187778952</v>
      </c>
      <c r="CR134" s="45">
        <f t="shared" si="53"/>
        <v>6.2141881742455283</v>
      </c>
      <c r="CS134" s="45">
        <f t="shared" si="54"/>
        <v>6.2141881742455283</v>
      </c>
      <c r="CT134" s="72">
        <f t="shared" si="55"/>
        <v>77.887565249897634</v>
      </c>
      <c r="CU134" s="72">
        <f t="shared" si="56"/>
        <v>0</v>
      </c>
      <c r="CV134" s="72">
        <f t="shared" si="57"/>
        <v>0</v>
      </c>
      <c r="CW134" s="72">
        <f t="shared" si="58"/>
        <v>0</v>
      </c>
      <c r="CX134" s="70">
        <f t="shared" si="59"/>
        <v>24223.032792718164</v>
      </c>
    </row>
    <row r="135" spans="79:102">
      <c r="CB135" s="63">
        <v>4</v>
      </c>
      <c r="CC135" s="63">
        <f>data!$I25</f>
        <v>23</v>
      </c>
      <c r="CD135" s="63">
        <f>data!$J25</f>
        <v>317</v>
      </c>
      <c r="CE135" s="70">
        <f t="shared" si="40"/>
        <v>553.84615384615381</v>
      </c>
      <c r="CF135" s="71">
        <f t="shared" si="41"/>
        <v>0.77983950857834339</v>
      </c>
      <c r="CG135" s="71">
        <f t="shared" si="42"/>
        <v>0.18459077251238298</v>
      </c>
      <c r="CH135" s="71">
        <f t="shared" si="43"/>
        <v>0</v>
      </c>
      <c r="CI135" s="71">
        <f t="shared" si="44"/>
        <v>1</v>
      </c>
      <c r="CJ135" s="72">
        <f t="shared" si="45"/>
        <v>6347</v>
      </c>
      <c r="CK135" s="72">
        <f t="shared" si="46"/>
        <v>3000.3999999999996</v>
      </c>
      <c r="CL135" s="72">
        <f t="shared" si="47"/>
        <v>3000.3999999999996</v>
      </c>
      <c r="CM135" s="70">
        <f t="shared" si="48"/>
        <v>175569.23076923075</v>
      </c>
      <c r="CN135" s="72">
        <f t="shared" si="49"/>
        <v>1258.56</v>
      </c>
      <c r="CO135" s="72">
        <f t="shared" si="50"/>
        <v>496.79999999999995</v>
      </c>
      <c r="CP135" s="72">
        <f t="shared" si="51"/>
        <v>496.79999999999995</v>
      </c>
      <c r="CQ135" s="45">
        <f t="shared" si="52"/>
        <v>5.0430650902618872</v>
      </c>
      <c r="CR135" s="45">
        <f t="shared" si="53"/>
        <v>6.0394524959742348</v>
      </c>
      <c r="CS135" s="45">
        <f t="shared" si="54"/>
        <v>6.0394524959742348</v>
      </c>
      <c r="CT135" s="72">
        <f t="shared" si="55"/>
        <v>117.59431879942912</v>
      </c>
      <c r="CU135" s="72">
        <f t="shared" si="56"/>
        <v>0</v>
      </c>
      <c r="CV135" s="72">
        <f t="shared" si="57"/>
        <v>0</v>
      </c>
      <c r="CW135" s="72">
        <f t="shared" si="58"/>
        <v>0</v>
      </c>
      <c r="CX135" s="70">
        <f t="shared" si="59"/>
        <v>37277.399059419033</v>
      </c>
    </row>
    <row r="136" spans="79:102">
      <c r="CB136" s="63">
        <v>5</v>
      </c>
      <c r="CC136" s="63">
        <f>data!$I26</f>
        <v>24</v>
      </c>
      <c r="CD136" s="63">
        <f>data!$J26</f>
        <v>325</v>
      </c>
      <c r="CE136" s="70">
        <f t="shared" si="40"/>
        <v>738.46153846153845</v>
      </c>
      <c r="CF136" s="71">
        <f t="shared" si="41"/>
        <v>0.7971999917037047</v>
      </c>
      <c r="CG136" s="71">
        <f t="shared" si="42"/>
        <v>0.2488888581618694</v>
      </c>
      <c r="CH136" s="71">
        <f t="shared" si="43"/>
        <v>0</v>
      </c>
      <c r="CI136" s="71">
        <f t="shared" si="44"/>
        <v>1</v>
      </c>
      <c r="CJ136" s="72">
        <f t="shared" si="45"/>
        <v>6276.416666666667</v>
      </c>
      <c r="CK136" s="72">
        <f t="shared" si="46"/>
        <v>2967.0333333333328</v>
      </c>
      <c r="CL136" s="72">
        <f t="shared" si="47"/>
        <v>2967.0333333333328</v>
      </c>
      <c r="CM136" s="70">
        <f t="shared" si="48"/>
        <v>240000</v>
      </c>
      <c r="CN136" s="72">
        <f t="shared" si="49"/>
        <v>1280.3466666666666</v>
      </c>
      <c r="CO136" s="72">
        <f t="shared" si="50"/>
        <v>505.4</v>
      </c>
      <c r="CP136" s="72">
        <f t="shared" si="51"/>
        <v>505.4</v>
      </c>
      <c r="CQ136" s="45">
        <f t="shared" si="52"/>
        <v>4.9021228625580582</v>
      </c>
      <c r="CR136" s="45">
        <f t="shared" si="53"/>
        <v>5.8706635008574057</v>
      </c>
      <c r="CS136" s="45">
        <f t="shared" si="54"/>
        <v>5.8706635008574057</v>
      </c>
      <c r="CT136" s="72">
        <f t="shared" si="55"/>
        <v>157.78779506279847</v>
      </c>
      <c r="CU136" s="72">
        <f t="shared" si="56"/>
        <v>0</v>
      </c>
      <c r="CV136" s="72">
        <f t="shared" si="57"/>
        <v>0</v>
      </c>
      <c r="CW136" s="72">
        <f t="shared" si="58"/>
        <v>0</v>
      </c>
      <c r="CX136" s="70">
        <f t="shared" si="59"/>
        <v>51281.033395409504</v>
      </c>
    </row>
    <row r="137" spans="79:102">
      <c r="CB137" s="63">
        <v>6</v>
      </c>
      <c r="CC137" s="63">
        <f>data!$I27</f>
        <v>25</v>
      </c>
      <c r="CD137" s="63">
        <f>data!$J27</f>
        <v>334</v>
      </c>
      <c r="CE137" s="70">
        <f t="shared" si="40"/>
        <v>923.07692307692309</v>
      </c>
      <c r="CF137" s="71">
        <f t="shared" si="41"/>
        <v>0.81495538094447306</v>
      </c>
      <c r="CG137" s="71">
        <f t="shared" si="42"/>
        <v>0.31464955905360409</v>
      </c>
      <c r="CH137" s="71">
        <f t="shared" si="43"/>
        <v>0</v>
      </c>
      <c r="CI137" s="71">
        <f t="shared" si="44"/>
        <v>1</v>
      </c>
      <c r="CJ137" s="72">
        <f t="shared" si="45"/>
        <v>6205.833333333333</v>
      </c>
      <c r="CK137" s="72">
        <f t="shared" si="46"/>
        <v>2933.6666666666665</v>
      </c>
      <c r="CL137" s="72">
        <f t="shared" si="47"/>
        <v>2933.6666666666665</v>
      </c>
      <c r="CM137" s="70">
        <f t="shared" si="48"/>
        <v>308307.69230769231</v>
      </c>
      <c r="CN137" s="72">
        <f t="shared" si="49"/>
        <v>1302.1333333333332</v>
      </c>
      <c r="CO137" s="72">
        <f t="shared" si="50"/>
        <v>514</v>
      </c>
      <c r="CP137" s="72">
        <f t="shared" si="51"/>
        <v>514</v>
      </c>
      <c r="CQ137" s="45">
        <f t="shared" si="52"/>
        <v>4.7658969895556016</v>
      </c>
      <c r="CR137" s="45">
        <f t="shared" si="53"/>
        <v>5.7075226977950706</v>
      </c>
      <c r="CS137" s="45">
        <f t="shared" si="54"/>
        <v>5.7075226977950706</v>
      </c>
      <c r="CT137" s="72">
        <f t="shared" si="55"/>
        <v>198.45242713302846</v>
      </c>
      <c r="CU137" s="72">
        <f t="shared" si="56"/>
        <v>0</v>
      </c>
      <c r="CV137" s="72">
        <f t="shared" si="57"/>
        <v>0</v>
      </c>
      <c r="CW137" s="72">
        <f t="shared" si="58"/>
        <v>0</v>
      </c>
      <c r="CX137" s="70">
        <f t="shared" si="59"/>
        <v>66283.110662431514</v>
      </c>
    </row>
    <row r="138" spans="79:102">
      <c r="CB138" s="63">
        <v>7</v>
      </c>
      <c r="CC138" s="63">
        <f>data!$I28</f>
        <v>26</v>
      </c>
      <c r="CD138" s="63">
        <f>data!$J28</f>
        <v>342</v>
      </c>
      <c r="CE138" s="70">
        <f t="shared" si="40"/>
        <v>1107.6923076923076</v>
      </c>
      <c r="CF138" s="71">
        <f t="shared" si="41"/>
        <v>0.83311930596039141</v>
      </c>
      <c r="CG138" s="71">
        <f t="shared" si="42"/>
        <v>0.38192335540885691</v>
      </c>
      <c r="CH138" s="71">
        <f t="shared" si="43"/>
        <v>0</v>
      </c>
      <c r="CI138" s="71">
        <f t="shared" si="44"/>
        <v>1</v>
      </c>
      <c r="CJ138" s="72">
        <f t="shared" si="45"/>
        <v>6135.25</v>
      </c>
      <c r="CK138" s="72">
        <f t="shared" si="46"/>
        <v>2900.2999999999997</v>
      </c>
      <c r="CL138" s="72">
        <f t="shared" si="47"/>
        <v>2900.2999999999997</v>
      </c>
      <c r="CM138" s="70">
        <f t="shared" si="48"/>
        <v>378830.76923076919</v>
      </c>
      <c r="CN138" s="72">
        <f t="shared" si="49"/>
        <v>1323.92</v>
      </c>
      <c r="CO138" s="72">
        <f t="shared" si="50"/>
        <v>522.59999999999991</v>
      </c>
      <c r="CP138" s="72">
        <f t="shared" si="51"/>
        <v>522.59999999999991</v>
      </c>
      <c r="CQ138" s="45">
        <f t="shared" si="52"/>
        <v>4.6341546316998006</v>
      </c>
      <c r="CR138" s="45">
        <f t="shared" si="53"/>
        <v>5.5497512437810954</v>
      </c>
      <c r="CS138" s="45">
        <f t="shared" si="54"/>
        <v>5.5497512437810954</v>
      </c>
      <c r="CT138" s="72">
        <f t="shared" si="55"/>
        <v>239.57330493810181</v>
      </c>
      <c r="CU138" s="72">
        <f t="shared" si="56"/>
        <v>0</v>
      </c>
      <c r="CV138" s="72">
        <f t="shared" si="57"/>
        <v>0</v>
      </c>
      <c r="CW138" s="72">
        <f t="shared" si="58"/>
        <v>0</v>
      </c>
      <c r="CX138" s="70">
        <f t="shared" si="59"/>
        <v>81934.070288830815</v>
      </c>
    </row>
    <row r="139" spans="79:102">
      <c r="CB139" s="63">
        <v>8</v>
      </c>
      <c r="CC139" s="63">
        <f>data!$I29</f>
        <v>27</v>
      </c>
      <c r="CD139" s="63">
        <f>data!$J29</f>
        <v>349</v>
      </c>
      <c r="CE139" s="70">
        <f t="shared" si="40"/>
        <v>1292.3076923076924</v>
      </c>
      <c r="CF139" s="71">
        <f t="shared" si="41"/>
        <v>0.85170603092377806</v>
      </c>
      <c r="CG139" s="71">
        <f t="shared" si="42"/>
        <v>0.45076307749547456</v>
      </c>
      <c r="CH139" s="71">
        <f t="shared" si="43"/>
        <v>0</v>
      </c>
      <c r="CI139" s="71">
        <f t="shared" si="44"/>
        <v>1</v>
      </c>
      <c r="CJ139" s="72">
        <f t="shared" si="45"/>
        <v>6064.666666666667</v>
      </c>
      <c r="CK139" s="72">
        <f t="shared" si="46"/>
        <v>2866.9333333333329</v>
      </c>
      <c r="CL139" s="72">
        <f t="shared" si="47"/>
        <v>2866.9333333333329</v>
      </c>
      <c r="CM139" s="70">
        <f t="shared" si="48"/>
        <v>451015.38461538462</v>
      </c>
      <c r="CN139" s="72">
        <f t="shared" si="49"/>
        <v>1345.7066666666667</v>
      </c>
      <c r="CO139" s="72">
        <f t="shared" si="50"/>
        <v>531.19999999999993</v>
      </c>
      <c r="CP139" s="72">
        <f t="shared" si="51"/>
        <v>531.19999999999993</v>
      </c>
      <c r="CQ139" s="45">
        <f t="shared" si="52"/>
        <v>4.5066780279010779</v>
      </c>
      <c r="CR139" s="45">
        <f t="shared" si="53"/>
        <v>5.3970883534136549</v>
      </c>
      <c r="CS139" s="45">
        <f t="shared" si="54"/>
        <v>5.3970883534136549</v>
      </c>
      <c r="CT139" s="72">
        <f t="shared" si="55"/>
        <v>281.13614095920946</v>
      </c>
      <c r="CU139" s="72">
        <f t="shared" si="56"/>
        <v>0</v>
      </c>
      <c r="CV139" s="72">
        <f t="shared" si="57"/>
        <v>0</v>
      </c>
      <c r="CW139" s="72">
        <f t="shared" si="58"/>
        <v>0</v>
      </c>
      <c r="CX139" s="70">
        <f t="shared" si="59"/>
        <v>98116.513194764106</v>
      </c>
    </row>
    <row r="140" spans="79:102">
      <c r="CB140" s="63">
        <v>9</v>
      </c>
      <c r="CC140" s="63">
        <f>data!$I30</f>
        <v>28</v>
      </c>
      <c r="CD140" s="63">
        <f>data!$J30</f>
        <v>354</v>
      </c>
      <c r="CE140" s="70">
        <f t="shared" si="40"/>
        <v>1476.9230769230769</v>
      </c>
      <c r="CF140" s="71">
        <f t="shared" si="41"/>
        <v>0.87073049187804441</v>
      </c>
      <c r="CG140" s="71">
        <f t="shared" si="42"/>
        <v>0.52122404399275712</v>
      </c>
      <c r="CH140" s="71">
        <f t="shared" si="43"/>
        <v>0</v>
      </c>
      <c r="CI140" s="71">
        <f t="shared" si="44"/>
        <v>1</v>
      </c>
      <c r="CJ140" s="72">
        <f t="shared" si="45"/>
        <v>5994.083333333333</v>
      </c>
      <c r="CK140" s="72">
        <f t="shared" si="46"/>
        <v>2833.5666666666666</v>
      </c>
      <c r="CL140" s="72">
        <f t="shared" si="47"/>
        <v>2833.5666666666666</v>
      </c>
      <c r="CM140" s="70">
        <f t="shared" si="48"/>
        <v>522830.76923076925</v>
      </c>
      <c r="CN140" s="72">
        <f t="shared" si="49"/>
        <v>1367.4933333333333</v>
      </c>
      <c r="CO140" s="72">
        <f t="shared" si="50"/>
        <v>539.79999999999995</v>
      </c>
      <c r="CP140" s="72">
        <f t="shared" si="51"/>
        <v>539.79999999999995</v>
      </c>
      <c r="CQ140" s="45">
        <f t="shared" si="52"/>
        <v>4.3832632943975351</v>
      </c>
      <c r="CR140" s="45">
        <f t="shared" si="53"/>
        <v>5.249289860442139</v>
      </c>
      <c r="CS140" s="45">
        <f t="shared" si="54"/>
        <v>5.249289860442139</v>
      </c>
      <c r="CT140" s="72">
        <f t="shared" si="55"/>
        <v>323.1272380739108</v>
      </c>
      <c r="CU140" s="72">
        <f t="shared" si="56"/>
        <v>0</v>
      </c>
      <c r="CV140" s="72">
        <f t="shared" si="57"/>
        <v>0</v>
      </c>
      <c r="CW140" s="72">
        <f t="shared" si="58"/>
        <v>0</v>
      </c>
      <c r="CX140" s="70">
        <f t="shared" si="59"/>
        <v>114387.04227816443</v>
      </c>
    </row>
    <row r="141" spans="79:102">
      <c r="CB141" s="63">
        <v>10</v>
      </c>
      <c r="CC141" s="63">
        <f>data!$I31</f>
        <v>29</v>
      </c>
      <c r="CD141" s="63">
        <f>data!$J31</f>
        <v>356</v>
      </c>
      <c r="CE141" s="70">
        <f t="shared" si="40"/>
        <v>1661.5384615384614</v>
      </c>
      <c r="CF141" s="71">
        <f t="shared" si="41"/>
        <v>0.89020833676715405</v>
      </c>
      <c r="CG141" s="71">
        <f t="shared" si="42"/>
        <v>0.59336421024871855</v>
      </c>
      <c r="CH141" s="71">
        <f t="shared" si="43"/>
        <v>0</v>
      </c>
      <c r="CI141" s="71">
        <f t="shared" si="44"/>
        <v>1</v>
      </c>
      <c r="CJ141" s="72">
        <f t="shared" si="45"/>
        <v>5923.5</v>
      </c>
      <c r="CK141" s="72">
        <f t="shared" si="46"/>
        <v>2800.2</v>
      </c>
      <c r="CL141" s="72">
        <f t="shared" si="47"/>
        <v>2800.2</v>
      </c>
      <c r="CM141" s="70">
        <f t="shared" si="48"/>
        <v>591507.69230769225</v>
      </c>
      <c r="CN141" s="72">
        <f t="shared" si="49"/>
        <v>1389.28</v>
      </c>
      <c r="CO141" s="72">
        <f t="shared" si="50"/>
        <v>548.4</v>
      </c>
      <c r="CP141" s="72">
        <f t="shared" si="51"/>
        <v>548.4</v>
      </c>
      <c r="CQ141" s="45">
        <f t="shared" si="52"/>
        <v>4.2637193366348036</v>
      </c>
      <c r="CR141" s="45">
        <f t="shared" si="53"/>
        <v>5.1061269146608312</v>
      </c>
      <c r="CS141" s="45">
        <f t="shared" si="54"/>
        <v>5.1061269146608312</v>
      </c>
      <c r="CT141" s="72">
        <f t="shared" si="55"/>
        <v>365.53345937211805</v>
      </c>
      <c r="CU141" s="72">
        <f t="shared" si="56"/>
        <v>0</v>
      </c>
      <c r="CV141" s="72">
        <f t="shared" si="57"/>
        <v>0</v>
      </c>
      <c r="CW141" s="72">
        <f t="shared" si="58"/>
        <v>0</v>
      </c>
      <c r="CX141" s="70">
        <f t="shared" si="59"/>
        <v>130129.91153647403</v>
      </c>
    </row>
    <row r="142" spans="79:102">
      <c r="CB142" s="63">
        <v>11</v>
      </c>
      <c r="CC142" s="63">
        <f>data!$I32</f>
        <v>30</v>
      </c>
      <c r="CD142" s="63">
        <f>data!$J32</f>
        <v>355</v>
      </c>
      <c r="CE142" s="70">
        <f t="shared" si="40"/>
        <v>1846.1538461538462</v>
      </c>
      <c r="CF142" s="71">
        <f t="shared" si="41"/>
        <v>0.91015596836149815</v>
      </c>
      <c r="CG142" s="71">
        <f t="shared" si="42"/>
        <v>0.66724432726480809</v>
      </c>
      <c r="CH142" s="71">
        <f t="shared" si="43"/>
        <v>0</v>
      </c>
      <c r="CI142" s="71">
        <f t="shared" si="44"/>
        <v>1</v>
      </c>
      <c r="CJ142" s="72">
        <f t="shared" si="45"/>
        <v>5852.916666666667</v>
      </c>
      <c r="CK142" s="72">
        <f t="shared" si="46"/>
        <v>2766.833333333333</v>
      </c>
      <c r="CL142" s="72">
        <f t="shared" si="47"/>
        <v>2766.833333333333</v>
      </c>
      <c r="CM142" s="70">
        <f t="shared" si="48"/>
        <v>655384.61538461538</v>
      </c>
      <c r="CN142" s="72">
        <f t="shared" si="49"/>
        <v>1411.0666666666666</v>
      </c>
      <c r="CO142" s="72">
        <f t="shared" si="50"/>
        <v>557</v>
      </c>
      <c r="CP142" s="72">
        <f t="shared" si="51"/>
        <v>557</v>
      </c>
      <c r="CQ142" s="45">
        <f t="shared" si="52"/>
        <v>4.1478668619484083</v>
      </c>
      <c r="CR142" s="45">
        <f t="shared" si="53"/>
        <v>4.9673847995212439</v>
      </c>
      <c r="CS142" s="45">
        <f t="shared" si="54"/>
        <v>4.9673847995212439</v>
      </c>
      <c r="CT142" s="72">
        <f t="shared" si="55"/>
        <v>408.34219980512518</v>
      </c>
      <c r="CU142" s="72">
        <f t="shared" si="56"/>
        <v>0</v>
      </c>
      <c r="CV142" s="72">
        <f t="shared" si="57"/>
        <v>0</v>
      </c>
      <c r="CW142" s="72">
        <f t="shared" si="58"/>
        <v>0</v>
      </c>
      <c r="CX142" s="70">
        <f t="shared" si="59"/>
        <v>144961.48093081944</v>
      </c>
    </row>
    <row r="143" spans="79:102">
      <c r="CB143" s="63">
        <v>12</v>
      </c>
      <c r="CC143" s="63">
        <f>data!$I33</f>
        <v>31</v>
      </c>
      <c r="CD143" s="63">
        <f>data!$J33</f>
        <v>351</v>
      </c>
      <c r="CE143" s="70">
        <f t="shared" si="40"/>
        <v>2030.7692307692307</v>
      </c>
      <c r="CF143" s="71">
        <f t="shared" si="41"/>
        <v>0.93059059032767633</v>
      </c>
      <c r="CG143" s="71">
        <f t="shared" si="42"/>
        <v>0.74292811232472711</v>
      </c>
      <c r="CH143" s="71">
        <f t="shared" si="43"/>
        <v>0</v>
      </c>
      <c r="CI143" s="71">
        <f t="shared" si="44"/>
        <v>1</v>
      </c>
      <c r="CJ143" s="72">
        <f t="shared" si="45"/>
        <v>5782.333333333333</v>
      </c>
      <c r="CK143" s="72">
        <f t="shared" si="46"/>
        <v>2733.4666666666667</v>
      </c>
      <c r="CL143" s="72">
        <f t="shared" si="47"/>
        <v>2733.4666666666667</v>
      </c>
      <c r="CM143" s="70">
        <f t="shared" si="48"/>
        <v>712800</v>
      </c>
      <c r="CN143" s="72">
        <f t="shared" si="49"/>
        <v>1432.8533333333332</v>
      </c>
      <c r="CO143" s="72">
        <f t="shared" si="50"/>
        <v>565.6</v>
      </c>
      <c r="CP143" s="72">
        <f t="shared" si="51"/>
        <v>565.6</v>
      </c>
      <c r="CQ143" s="45">
        <f t="shared" si="52"/>
        <v>4.0355374823196604</v>
      </c>
      <c r="CR143" s="45">
        <f t="shared" si="53"/>
        <v>4.8328618576143327</v>
      </c>
      <c r="CS143" s="45">
        <f t="shared" si="54"/>
        <v>4.8328618576143327</v>
      </c>
      <c r="CT143" s="72">
        <f t="shared" si="55"/>
        <v>451.54135953911407</v>
      </c>
      <c r="CU143" s="72">
        <f t="shared" si="56"/>
        <v>0</v>
      </c>
      <c r="CV143" s="72">
        <f t="shared" si="57"/>
        <v>0</v>
      </c>
      <c r="CW143" s="72">
        <f t="shared" si="58"/>
        <v>0</v>
      </c>
      <c r="CX143" s="70">
        <f t="shared" si="59"/>
        <v>158491.01719822903</v>
      </c>
    </row>
    <row r="144" spans="79:102">
      <c r="CB144" s="63">
        <v>13</v>
      </c>
      <c r="CC144" s="63">
        <f>data!$I34</f>
        <v>32</v>
      </c>
      <c r="CD144" s="63">
        <f>data!$J34</f>
        <v>344</v>
      </c>
      <c r="CE144" s="70">
        <f t="shared" si="40"/>
        <v>2215.3846153846152</v>
      </c>
      <c r="CF144" s="71">
        <f t="shared" si="41"/>
        <v>0.95153025671413882</v>
      </c>
      <c r="CG144" s="71">
        <f t="shared" si="42"/>
        <v>0.82048243227458806</v>
      </c>
      <c r="CH144" s="71">
        <f t="shared" si="43"/>
        <v>0</v>
      </c>
      <c r="CI144" s="71">
        <f t="shared" si="44"/>
        <v>1</v>
      </c>
      <c r="CJ144" s="72">
        <f t="shared" si="45"/>
        <v>5711.75</v>
      </c>
      <c r="CK144" s="72">
        <f t="shared" si="46"/>
        <v>2700.1</v>
      </c>
      <c r="CL144" s="72">
        <f t="shared" si="47"/>
        <v>2700.1</v>
      </c>
      <c r="CM144" s="70">
        <f t="shared" si="48"/>
        <v>762092.30769230763</v>
      </c>
      <c r="CN144" s="72">
        <f t="shared" si="49"/>
        <v>1454.6399999999999</v>
      </c>
      <c r="CO144" s="72">
        <f t="shared" si="50"/>
        <v>574.20000000000005</v>
      </c>
      <c r="CP144" s="72">
        <f t="shared" si="51"/>
        <v>574.20000000000005</v>
      </c>
      <c r="CQ144" s="45">
        <f t="shared" si="52"/>
        <v>3.9265728977616456</v>
      </c>
      <c r="CR144" s="45">
        <f t="shared" si="53"/>
        <v>4.7023685127133401</v>
      </c>
      <c r="CS144" s="45">
        <f t="shared" si="54"/>
        <v>4.7023685127133401</v>
      </c>
      <c r="CT144" s="72">
        <f t="shared" si="55"/>
        <v>495.11931889476836</v>
      </c>
      <c r="CU144" s="72">
        <f t="shared" si="56"/>
        <v>0</v>
      </c>
      <c r="CV144" s="72">
        <f t="shared" si="57"/>
        <v>0</v>
      </c>
      <c r="CW144" s="72">
        <f t="shared" si="58"/>
        <v>0</v>
      </c>
      <c r="CX144" s="70">
        <f t="shared" si="59"/>
        <v>170321.04569980031</v>
      </c>
    </row>
    <row r="145" spans="80:102">
      <c r="CB145" s="63">
        <v>14</v>
      </c>
      <c r="CC145" s="63">
        <f>data!$I35</f>
        <v>33</v>
      </c>
      <c r="CD145" s="63">
        <f>data!$J35</f>
        <v>332</v>
      </c>
      <c r="CE145" s="70">
        <f t="shared" si="40"/>
        <v>2400</v>
      </c>
      <c r="CF145" s="71">
        <f t="shared" si="41"/>
        <v>0.97299392515187122</v>
      </c>
      <c r="CG145" s="71">
        <f t="shared" si="42"/>
        <v>0.89997750056248604</v>
      </c>
      <c r="CH145" s="71">
        <f t="shared" si="43"/>
        <v>0</v>
      </c>
      <c r="CI145" s="71">
        <f t="shared" si="44"/>
        <v>1</v>
      </c>
      <c r="CJ145" s="72">
        <f t="shared" si="45"/>
        <v>5641.166666666667</v>
      </c>
      <c r="CK145" s="72">
        <f t="shared" si="46"/>
        <v>2666.7333333333331</v>
      </c>
      <c r="CL145" s="72">
        <f t="shared" si="47"/>
        <v>2666.7333333333331</v>
      </c>
      <c r="CM145" s="70">
        <f t="shared" si="48"/>
        <v>796800</v>
      </c>
      <c r="CN145" s="72">
        <f t="shared" si="49"/>
        <v>1476.4266666666667</v>
      </c>
      <c r="CO145" s="72">
        <f t="shared" si="50"/>
        <v>582.79999999999995</v>
      </c>
      <c r="CP145" s="72">
        <f t="shared" si="51"/>
        <v>582.79999999999995</v>
      </c>
      <c r="CQ145" s="45">
        <f t="shared" si="52"/>
        <v>3.8208241520066468</v>
      </c>
      <c r="CR145" s="45">
        <f t="shared" si="53"/>
        <v>4.575726378403111</v>
      </c>
      <c r="CS145" s="45">
        <f t="shared" si="54"/>
        <v>4.575726378403111</v>
      </c>
      <c r="CT145" s="72">
        <f t="shared" si="55"/>
        <v>539.06491476393171</v>
      </c>
      <c r="CU145" s="72">
        <f t="shared" si="56"/>
        <v>0</v>
      </c>
      <c r="CV145" s="72">
        <f t="shared" si="57"/>
        <v>0</v>
      </c>
      <c r="CW145" s="72">
        <f t="shared" si="58"/>
        <v>0</v>
      </c>
      <c r="CX145" s="70">
        <f t="shared" si="59"/>
        <v>178969.55170162531</v>
      </c>
    </row>
    <row r="146" spans="80:102">
      <c r="CB146" s="63">
        <v>15</v>
      </c>
      <c r="CC146" s="63">
        <f>data!$I36</f>
        <v>34</v>
      </c>
      <c r="CD146" s="63">
        <f>data!$J36</f>
        <v>317</v>
      </c>
      <c r="CE146" s="70">
        <f t="shared" si="40"/>
        <v>2584.6153846153848</v>
      </c>
      <c r="CF146" s="71">
        <f t="shared" si="41"/>
        <v>0.99500151409962678</v>
      </c>
      <c r="CG146" s="71">
        <f t="shared" si="42"/>
        <v>0.98148708925787698</v>
      </c>
      <c r="CH146" s="71">
        <f t="shared" si="43"/>
        <v>0</v>
      </c>
      <c r="CI146" s="71">
        <f t="shared" si="44"/>
        <v>1</v>
      </c>
      <c r="CJ146" s="72">
        <f t="shared" si="45"/>
        <v>5570.583333333333</v>
      </c>
      <c r="CK146" s="72">
        <f t="shared" si="46"/>
        <v>2633.3666666666668</v>
      </c>
      <c r="CL146" s="72">
        <f t="shared" si="47"/>
        <v>2633.3666666666668</v>
      </c>
      <c r="CM146" s="70">
        <f t="shared" si="48"/>
        <v>819323.07692307699</v>
      </c>
      <c r="CN146" s="72">
        <f t="shared" si="49"/>
        <v>1498.2133333333334</v>
      </c>
      <c r="CO146" s="72">
        <f t="shared" si="50"/>
        <v>591.4</v>
      </c>
      <c r="CP146" s="72">
        <f t="shared" si="51"/>
        <v>591.4</v>
      </c>
      <c r="CQ146" s="45">
        <f t="shared" si="52"/>
        <v>3.7181509531352899</v>
      </c>
      <c r="CR146" s="45">
        <f t="shared" si="53"/>
        <v>4.4527674444820207</v>
      </c>
      <c r="CS146" s="45">
        <f t="shared" si="54"/>
        <v>4.4527674444820207</v>
      </c>
      <c r="CT146" s="72">
        <f t="shared" si="55"/>
        <v>583.36741840273157</v>
      </c>
      <c r="CU146" s="72">
        <f t="shared" si="56"/>
        <v>0</v>
      </c>
      <c r="CV146" s="72">
        <f t="shared" si="57"/>
        <v>0</v>
      </c>
      <c r="CW146" s="72">
        <f t="shared" si="58"/>
        <v>0</v>
      </c>
      <c r="CX146" s="70">
        <f t="shared" si="59"/>
        <v>184927.4716336659</v>
      </c>
    </row>
    <row r="147" spans="80:102">
      <c r="CB147" s="63">
        <v>16</v>
      </c>
      <c r="CC147" s="63">
        <f>data!$I37</f>
        <v>35</v>
      </c>
      <c r="CD147" s="63">
        <f>data!$J37</f>
        <v>299</v>
      </c>
      <c r="CE147" s="70">
        <f t="shared" si="40"/>
        <v>2769.2307692307691</v>
      </c>
      <c r="CF147" s="71">
        <f t="shared" si="41"/>
        <v>1</v>
      </c>
      <c r="CG147" s="71">
        <f t="shared" si="42"/>
        <v>1</v>
      </c>
      <c r="CH147" s="71">
        <f t="shared" si="43"/>
        <v>0</v>
      </c>
      <c r="CI147" s="71">
        <f t="shared" si="44"/>
        <v>0.94164456233421756</v>
      </c>
      <c r="CJ147" s="72">
        <f t="shared" si="45"/>
        <v>5500</v>
      </c>
      <c r="CK147" s="72">
        <f t="shared" si="46"/>
        <v>2600</v>
      </c>
      <c r="CL147" s="72">
        <f t="shared" si="47"/>
        <v>2600</v>
      </c>
      <c r="CM147" s="70">
        <f t="shared" si="48"/>
        <v>828000</v>
      </c>
      <c r="CN147" s="72">
        <f t="shared" si="49"/>
        <v>1520</v>
      </c>
      <c r="CO147" s="72">
        <f t="shared" si="50"/>
        <v>600</v>
      </c>
      <c r="CP147" s="72">
        <f t="shared" si="51"/>
        <v>600</v>
      </c>
      <c r="CQ147" s="45">
        <f t="shared" si="52"/>
        <v>3.6184210526315788</v>
      </c>
      <c r="CR147" s="45">
        <f t="shared" si="53"/>
        <v>4.333333333333333</v>
      </c>
      <c r="CS147" s="45">
        <f t="shared" si="54"/>
        <v>4.333333333333333</v>
      </c>
      <c r="CT147" s="72">
        <f t="shared" si="55"/>
        <v>0</v>
      </c>
      <c r="CU147" s="72">
        <f t="shared" si="56"/>
        <v>0</v>
      </c>
      <c r="CV147" s="72">
        <f t="shared" si="57"/>
        <v>653.68700265251982</v>
      </c>
      <c r="CW147" s="72">
        <f t="shared" si="58"/>
        <v>0</v>
      </c>
      <c r="CX147" s="70">
        <f t="shared" si="59"/>
        <v>195452.41379310342</v>
      </c>
    </row>
    <row r="148" spans="80:102">
      <c r="CB148" s="63">
        <v>17</v>
      </c>
      <c r="CC148" s="63">
        <f>data!$I38</f>
        <v>36</v>
      </c>
      <c r="CD148" s="63">
        <f>data!$J38</f>
        <v>277</v>
      </c>
      <c r="CE148" s="70">
        <f t="shared" si="40"/>
        <v>2953.8461538461538</v>
      </c>
      <c r="CF148" s="71">
        <f t="shared" si="41"/>
        <v>1</v>
      </c>
      <c r="CG148" s="71">
        <f t="shared" si="42"/>
        <v>1</v>
      </c>
      <c r="CH148" s="71">
        <f t="shared" si="43"/>
        <v>0</v>
      </c>
      <c r="CI148" s="71">
        <f t="shared" si="44"/>
        <v>0.86508183674175576</v>
      </c>
      <c r="CJ148" s="72">
        <f t="shared" si="45"/>
        <v>5436.363636363636</v>
      </c>
      <c r="CK148" s="72">
        <f t="shared" si="46"/>
        <v>2566.6727272727271</v>
      </c>
      <c r="CL148" s="72">
        <f t="shared" si="47"/>
        <v>2566.6727272727271</v>
      </c>
      <c r="CM148" s="70">
        <f t="shared" si="48"/>
        <v>818215.38461538462</v>
      </c>
      <c r="CN148" s="72">
        <f t="shared" si="49"/>
        <v>1550</v>
      </c>
      <c r="CO148" s="72">
        <f t="shared" si="50"/>
        <v>613.63636363636363</v>
      </c>
      <c r="CP148" s="72">
        <f t="shared" si="51"/>
        <v>613.63636363636363</v>
      </c>
      <c r="CQ148" s="45">
        <f t="shared" si="52"/>
        <v>3.5073313782991202</v>
      </c>
      <c r="CR148" s="45">
        <f t="shared" si="53"/>
        <v>4.1827259259259257</v>
      </c>
      <c r="CS148" s="45">
        <f t="shared" si="54"/>
        <v>4.1827259259259257</v>
      </c>
      <c r="CT148" s="72">
        <f t="shared" si="55"/>
        <v>0</v>
      </c>
      <c r="CU148" s="72">
        <f t="shared" si="56"/>
        <v>0</v>
      </c>
      <c r="CV148" s="72">
        <f t="shared" si="57"/>
        <v>739.96882559635594</v>
      </c>
      <c r="CW148" s="72">
        <f t="shared" si="58"/>
        <v>0</v>
      </c>
      <c r="CX148" s="70">
        <f t="shared" si="59"/>
        <v>204971.36469019059</v>
      </c>
    </row>
    <row r="149" spans="80:102">
      <c r="CB149" s="63">
        <v>18</v>
      </c>
      <c r="CC149" s="63">
        <f>data!$I39</f>
        <v>37</v>
      </c>
      <c r="CD149" s="63">
        <f>data!$J39</f>
        <v>252</v>
      </c>
      <c r="CE149" s="70">
        <f t="shared" si="40"/>
        <v>3138.4615384615386</v>
      </c>
      <c r="CF149" s="71">
        <f t="shared" si="41"/>
        <v>1</v>
      </c>
      <c r="CG149" s="71">
        <f t="shared" si="42"/>
        <v>1</v>
      </c>
      <c r="CH149" s="71">
        <f t="shared" si="43"/>
        <v>0</v>
      </c>
      <c r="CI149" s="71">
        <f t="shared" si="44"/>
        <v>0.78688456760508296</v>
      </c>
      <c r="CJ149" s="72">
        <f t="shared" si="45"/>
        <v>5372.727272727273</v>
      </c>
      <c r="CK149" s="72">
        <f t="shared" si="46"/>
        <v>2533.3454545454547</v>
      </c>
      <c r="CL149" s="72">
        <f t="shared" si="47"/>
        <v>2533.3454545454547</v>
      </c>
      <c r="CM149" s="70">
        <f t="shared" si="48"/>
        <v>790892.30769230775</v>
      </c>
      <c r="CN149" s="72">
        <f t="shared" si="49"/>
        <v>1580</v>
      </c>
      <c r="CO149" s="72">
        <f t="shared" si="50"/>
        <v>627.27272727272725</v>
      </c>
      <c r="CP149" s="72">
        <f t="shared" si="51"/>
        <v>627.27272727272725</v>
      </c>
      <c r="CQ149" s="45">
        <f t="shared" si="52"/>
        <v>3.4004602991944766</v>
      </c>
      <c r="CR149" s="45">
        <f t="shared" si="53"/>
        <v>4.0386666666666668</v>
      </c>
      <c r="CS149" s="45">
        <f t="shared" si="54"/>
        <v>4.0386666666666668</v>
      </c>
      <c r="CT149" s="72">
        <f t="shared" si="55"/>
        <v>0</v>
      </c>
      <c r="CU149" s="72">
        <f t="shared" si="56"/>
        <v>0</v>
      </c>
      <c r="CV149" s="72">
        <f t="shared" si="57"/>
        <v>830.31361195443003</v>
      </c>
      <c r="CW149" s="72">
        <f t="shared" si="58"/>
        <v>0</v>
      </c>
      <c r="CX149" s="70">
        <f t="shared" si="59"/>
        <v>209239.03021251637</v>
      </c>
    </row>
    <row r="150" spans="80:102">
      <c r="CB150" s="63">
        <v>19</v>
      </c>
      <c r="CC150" s="63">
        <f>data!$I40</f>
        <v>38</v>
      </c>
      <c r="CD150" s="63">
        <f>data!$J40</f>
        <v>225</v>
      </c>
      <c r="CE150" s="70">
        <f t="shared" si="40"/>
        <v>3323.0769230769229</v>
      </c>
      <c r="CF150" s="71">
        <f t="shared" si="41"/>
        <v>1</v>
      </c>
      <c r="CG150" s="71">
        <f t="shared" si="42"/>
        <v>1</v>
      </c>
      <c r="CH150" s="71">
        <f t="shared" si="43"/>
        <v>0</v>
      </c>
      <c r="CI150" s="71">
        <f t="shared" si="44"/>
        <v>0.70699984615285039</v>
      </c>
      <c r="CJ150" s="72">
        <f t="shared" si="45"/>
        <v>5309.090909090909</v>
      </c>
      <c r="CK150" s="72">
        <f t="shared" si="46"/>
        <v>2500.0181818181818</v>
      </c>
      <c r="CL150" s="72">
        <f t="shared" si="47"/>
        <v>2500.0181818181818</v>
      </c>
      <c r="CM150" s="70">
        <f t="shared" si="48"/>
        <v>747692.30769230763</v>
      </c>
      <c r="CN150" s="72">
        <f t="shared" si="49"/>
        <v>1610</v>
      </c>
      <c r="CO150" s="72">
        <f t="shared" si="50"/>
        <v>640.90909090909088</v>
      </c>
      <c r="CP150" s="72">
        <f t="shared" si="51"/>
        <v>640.90909090909088</v>
      </c>
      <c r="CQ150" s="45">
        <f t="shared" si="52"/>
        <v>3.2975719932241669</v>
      </c>
      <c r="CR150" s="45">
        <f t="shared" si="53"/>
        <v>3.9007375886524822</v>
      </c>
      <c r="CS150" s="45">
        <f t="shared" si="54"/>
        <v>3.9007375886524822</v>
      </c>
      <c r="CT150" s="72">
        <f t="shared" si="55"/>
        <v>0</v>
      </c>
      <c r="CU150" s="72">
        <f t="shared" si="56"/>
        <v>0</v>
      </c>
      <c r="CV150" s="72">
        <f t="shared" si="57"/>
        <v>924.85287636460134</v>
      </c>
      <c r="CW150" s="72">
        <f t="shared" si="58"/>
        <v>0</v>
      </c>
      <c r="CX150" s="70">
        <f t="shared" si="59"/>
        <v>208091.89718203529</v>
      </c>
    </row>
    <row r="151" spans="80:102">
      <c r="CB151" s="63">
        <v>20</v>
      </c>
      <c r="CC151" s="63">
        <f>data!$I41</f>
        <v>39</v>
      </c>
      <c r="CD151" s="63">
        <f>data!$J41</f>
        <v>195</v>
      </c>
      <c r="CE151" s="70">
        <f t="shared" si="40"/>
        <v>3507.6923076923076</v>
      </c>
      <c r="CF151" s="71">
        <f t="shared" si="41"/>
        <v>1</v>
      </c>
      <c r="CG151" s="71">
        <f t="shared" si="42"/>
        <v>1</v>
      </c>
      <c r="CH151" s="71">
        <f t="shared" si="43"/>
        <v>0</v>
      </c>
      <c r="CI151" s="71">
        <f t="shared" si="44"/>
        <v>0.62537245522484219</v>
      </c>
      <c r="CJ151" s="72">
        <f t="shared" si="45"/>
        <v>5245.454545454545</v>
      </c>
      <c r="CK151" s="72">
        <f t="shared" si="46"/>
        <v>2466.6909090909094</v>
      </c>
      <c r="CL151" s="72">
        <f t="shared" si="47"/>
        <v>2466.6909090909094</v>
      </c>
      <c r="CM151" s="70">
        <f t="shared" si="48"/>
        <v>684000</v>
      </c>
      <c r="CN151" s="72">
        <f t="shared" si="49"/>
        <v>1640</v>
      </c>
      <c r="CO151" s="72">
        <f t="shared" si="50"/>
        <v>654.5454545454545</v>
      </c>
      <c r="CP151" s="72">
        <f t="shared" si="51"/>
        <v>654.5454545454545</v>
      </c>
      <c r="CQ151" s="45">
        <f t="shared" si="52"/>
        <v>3.1984478935698446</v>
      </c>
      <c r="CR151" s="45">
        <f t="shared" si="53"/>
        <v>3.7685555555555563</v>
      </c>
      <c r="CS151" s="45">
        <f t="shared" si="54"/>
        <v>3.7685555555555563</v>
      </c>
      <c r="CT151" s="72">
        <f t="shared" si="55"/>
        <v>0</v>
      </c>
      <c r="CU151" s="72">
        <f t="shared" si="56"/>
        <v>0</v>
      </c>
      <c r="CV151" s="72">
        <f t="shared" si="57"/>
        <v>1023.72387139661</v>
      </c>
      <c r="CW151" s="72">
        <f t="shared" si="58"/>
        <v>0</v>
      </c>
      <c r="CX151" s="70">
        <f t="shared" si="59"/>
        <v>199626.15492233896</v>
      </c>
    </row>
    <row r="152" spans="80:102">
      <c r="CB152" s="63">
        <v>21</v>
      </c>
      <c r="CC152" s="63">
        <f>data!$I42</f>
        <v>40</v>
      </c>
      <c r="CD152" s="63">
        <f>data!$J42</f>
        <v>165</v>
      </c>
      <c r="CE152" s="70">
        <f t="shared" si="40"/>
        <v>3692.3076923076924</v>
      </c>
      <c r="CF152" s="71">
        <f t="shared" si="41"/>
        <v>1</v>
      </c>
      <c r="CG152" s="71">
        <f t="shared" si="42"/>
        <v>1</v>
      </c>
      <c r="CH152" s="71">
        <f t="shared" si="43"/>
        <v>0</v>
      </c>
      <c r="CI152" s="71">
        <f t="shared" si="44"/>
        <v>0.54194474199104903</v>
      </c>
      <c r="CJ152" s="72">
        <f t="shared" si="45"/>
        <v>5181.818181818182</v>
      </c>
      <c r="CK152" s="72">
        <f t="shared" si="46"/>
        <v>2433.3636363636365</v>
      </c>
      <c r="CL152" s="72">
        <f t="shared" si="47"/>
        <v>2433.3636363636365</v>
      </c>
      <c r="CM152" s="70">
        <f t="shared" si="48"/>
        <v>609230.76923076925</v>
      </c>
      <c r="CN152" s="72">
        <f t="shared" si="49"/>
        <v>1670</v>
      </c>
      <c r="CO152" s="72">
        <f t="shared" si="50"/>
        <v>668.18181818181824</v>
      </c>
      <c r="CP152" s="72">
        <f t="shared" si="51"/>
        <v>668.18181818181824</v>
      </c>
      <c r="CQ152" s="45">
        <f t="shared" si="52"/>
        <v>3.1028851388132828</v>
      </c>
      <c r="CR152" s="45">
        <f t="shared" si="53"/>
        <v>3.641768707482993</v>
      </c>
      <c r="CS152" s="45">
        <f t="shared" si="54"/>
        <v>3.641768707482993</v>
      </c>
      <c r="CT152" s="72">
        <f t="shared" si="55"/>
        <v>0</v>
      </c>
      <c r="CU152" s="72">
        <f t="shared" si="56"/>
        <v>0</v>
      </c>
      <c r="CV152" s="72">
        <f t="shared" si="57"/>
        <v>1127.0699039326037</v>
      </c>
      <c r="CW152" s="72">
        <f t="shared" si="58"/>
        <v>0</v>
      </c>
      <c r="CX152" s="70">
        <f t="shared" si="59"/>
        <v>185966.53414887961</v>
      </c>
    </row>
    <row r="153" spans="80:102">
      <c r="CB153" s="63">
        <v>22</v>
      </c>
      <c r="CC153" s="63">
        <f>data!$I43</f>
        <v>41</v>
      </c>
      <c r="CD153" s="63">
        <f>data!$J43</f>
        <v>133</v>
      </c>
      <c r="CE153" s="70">
        <f t="shared" si="40"/>
        <v>3876.9230769230771</v>
      </c>
      <c r="CF153" s="71">
        <f t="shared" si="41"/>
        <v>1</v>
      </c>
      <c r="CG153" s="71">
        <f t="shared" si="42"/>
        <v>1</v>
      </c>
      <c r="CH153" s="71">
        <f t="shared" si="43"/>
        <v>0</v>
      </c>
      <c r="CI153" s="71">
        <f t="shared" si="44"/>
        <v>0.45665648215515092</v>
      </c>
      <c r="CJ153" s="72">
        <f t="shared" si="45"/>
        <v>5118.181818181818</v>
      </c>
      <c r="CK153" s="72">
        <f t="shared" si="46"/>
        <v>2400.0363636363636</v>
      </c>
      <c r="CL153" s="72">
        <f t="shared" si="47"/>
        <v>2400.0363636363636</v>
      </c>
      <c r="CM153" s="70">
        <f t="shared" si="48"/>
        <v>515630.76923076925</v>
      </c>
      <c r="CN153" s="72">
        <f t="shared" si="49"/>
        <v>1700</v>
      </c>
      <c r="CO153" s="72">
        <f t="shared" si="50"/>
        <v>681.81818181818176</v>
      </c>
      <c r="CP153" s="72">
        <f t="shared" si="51"/>
        <v>681.81818181818176</v>
      </c>
      <c r="CQ153" s="45">
        <f t="shared" si="52"/>
        <v>3.0106951871657754</v>
      </c>
      <c r="CR153" s="45">
        <f t="shared" si="53"/>
        <v>3.5200533333333337</v>
      </c>
      <c r="CS153" s="45">
        <f t="shared" si="54"/>
        <v>3.5200533333333337</v>
      </c>
      <c r="CT153" s="72">
        <f t="shared" si="55"/>
        <v>0</v>
      </c>
      <c r="CU153" s="72">
        <f t="shared" si="56"/>
        <v>0</v>
      </c>
      <c r="CV153" s="72">
        <f t="shared" si="57"/>
        <v>1235.0406727147556</v>
      </c>
      <c r="CW153" s="72">
        <f t="shared" si="58"/>
        <v>0</v>
      </c>
      <c r="CX153" s="70">
        <f t="shared" si="59"/>
        <v>164260.40947106251</v>
      </c>
    </row>
    <row r="154" spans="80:102">
      <c r="CB154" s="63">
        <v>23</v>
      </c>
      <c r="CC154" s="63">
        <f>data!$I44</f>
        <v>42</v>
      </c>
      <c r="CD154" s="63">
        <f>data!$J44</f>
        <v>103</v>
      </c>
      <c r="CE154" s="70">
        <f t="shared" si="40"/>
        <v>4061.5384615384614</v>
      </c>
      <c r="CF154" s="71">
        <f t="shared" si="41"/>
        <v>1</v>
      </c>
      <c r="CG154" s="71">
        <f t="shared" si="42"/>
        <v>1</v>
      </c>
      <c r="CH154" s="71">
        <f t="shared" si="43"/>
        <v>0</v>
      </c>
      <c r="CI154" s="71">
        <f t="shared" si="44"/>
        <v>0.36944473497023383</v>
      </c>
      <c r="CJ154" s="72">
        <f t="shared" si="45"/>
        <v>5054.545454545455</v>
      </c>
      <c r="CK154" s="72">
        <f t="shared" si="46"/>
        <v>2366.7090909090912</v>
      </c>
      <c r="CL154" s="72">
        <f t="shared" si="47"/>
        <v>2366.7090909090912</v>
      </c>
      <c r="CM154" s="70">
        <f t="shared" si="48"/>
        <v>418338.4615384615</v>
      </c>
      <c r="CN154" s="72">
        <f t="shared" si="49"/>
        <v>1730</v>
      </c>
      <c r="CO154" s="72">
        <f t="shared" si="50"/>
        <v>695.4545454545455</v>
      </c>
      <c r="CP154" s="72">
        <f t="shared" si="51"/>
        <v>695.4545454545455</v>
      </c>
      <c r="CQ154" s="45">
        <f t="shared" si="52"/>
        <v>2.921702574881766</v>
      </c>
      <c r="CR154" s="45">
        <f t="shared" si="53"/>
        <v>3.4031111111111114</v>
      </c>
      <c r="CS154" s="45">
        <f t="shared" si="54"/>
        <v>3.4031111111111114</v>
      </c>
      <c r="CT154" s="72">
        <f t="shared" si="55"/>
        <v>0</v>
      </c>
      <c r="CU154" s="72">
        <f t="shared" si="56"/>
        <v>0</v>
      </c>
      <c r="CV154" s="72">
        <f t="shared" si="57"/>
        <v>1347.7926287307944</v>
      </c>
      <c r="CW154" s="72">
        <f t="shared" si="58"/>
        <v>0</v>
      </c>
      <c r="CX154" s="70">
        <f t="shared" si="59"/>
        <v>138822.64075927183</v>
      </c>
    </row>
    <row r="155" spans="80:102">
      <c r="CB155" s="63">
        <v>24</v>
      </c>
      <c r="CC155" s="63">
        <f>data!$I45</f>
        <v>43</v>
      </c>
      <c r="CD155" s="63">
        <f>data!$J45</f>
        <v>73</v>
      </c>
      <c r="CE155" s="70">
        <f t="shared" si="40"/>
        <v>4246.1538461538457</v>
      </c>
      <c r="CF155" s="71">
        <f t="shared" si="41"/>
        <v>1</v>
      </c>
      <c r="CG155" s="71">
        <f t="shared" si="42"/>
        <v>1</v>
      </c>
      <c r="CH155" s="71">
        <f t="shared" si="43"/>
        <v>0</v>
      </c>
      <c r="CI155" s="71">
        <f t="shared" si="44"/>
        <v>0.28024368833323177</v>
      </c>
      <c r="CJ155" s="72">
        <f t="shared" si="45"/>
        <v>4990.909090909091</v>
      </c>
      <c r="CK155" s="72">
        <f t="shared" si="46"/>
        <v>2333.3818181818183</v>
      </c>
      <c r="CL155" s="72">
        <f t="shared" si="47"/>
        <v>2333.3818181818183</v>
      </c>
      <c r="CM155" s="70">
        <f t="shared" si="48"/>
        <v>309969.23076923075</v>
      </c>
      <c r="CN155" s="72">
        <f t="shared" si="49"/>
        <v>1760</v>
      </c>
      <c r="CO155" s="72">
        <f t="shared" si="50"/>
        <v>709.09090909090912</v>
      </c>
      <c r="CP155" s="72">
        <f t="shared" si="51"/>
        <v>709.09090909090912</v>
      </c>
      <c r="CQ155" s="45">
        <f t="shared" si="52"/>
        <v>2.8357438016528924</v>
      </c>
      <c r="CR155" s="45">
        <f t="shared" si="53"/>
        <v>3.2906666666666666</v>
      </c>
      <c r="CS155" s="45">
        <f t="shared" si="54"/>
        <v>3.2906666666666666</v>
      </c>
      <c r="CT155" s="72">
        <f t="shared" si="55"/>
        <v>0</v>
      </c>
      <c r="CU155" s="72">
        <f t="shared" si="56"/>
        <v>0</v>
      </c>
      <c r="CV155" s="72">
        <f t="shared" si="57"/>
        <v>1465.4893602607126</v>
      </c>
      <c r="CW155" s="72">
        <f t="shared" si="58"/>
        <v>0</v>
      </c>
      <c r="CX155" s="70">
        <f t="shared" si="59"/>
        <v>106980.72329903202</v>
      </c>
    </row>
    <row r="156" spans="80:102">
      <c r="CB156" s="63">
        <v>25</v>
      </c>
      <c r="CC156" s="63">
        <f>data!$I46</f>
        <v>44</v>
      </c>
      <c r="CD156" s="63">
        <f>data!$J46</f>
        <v>47</v>
      </c>
      <c r="CE156" s="70">
        <f t="shared" si="40"/>
        <v>4430.7692307692305</v>
      </c>
      <c r="CF156" s="71">
        <f t="shared" si="41"/>
        <v>1</v>
      </c>
      <c r="CG156" s="71">
        <f t="shared" si="42"/>
        <v>1</v>
      </c>
      <c r="CH156" s="71">
        <f t="shared" si="43"/>
        <v>0</v>
      </c>
      <c r="CI156" s="71">
        <f t="shared" si="44"/>
        <v>0.18898449315689814</v>
      </c>
      <c r="CJ156" s="72">
        <f t="shared" si="45"/>
        <v>4927.272727272727</v>
      </c>
      <c r="CK156" s="72">
        <f t="shared" si="46"/>
        <v>2300.0545454545454</v>
      </c>
      <c r="CL156" s="72">
        <f t="shared" si="47"/>
        <v>2300.0545454545454</v>
      </c>
      <c r="CM156" s="70">
        <f t="shared" si="48"/>
        <v>208246.15384615384</v>
      </c>
      <c r="CN156" s="72">
        <f t="shared" si="49"/>
        <v>1790</v>
      </c>
      <c r="CO156" s="72">
        <f t="shared" si="50"/>
        <v>722.72727272727275</v>
      </c>
      <c r="CP156" s="72">
        <f t="shared" si="51"/>
        <v>722.72727272727275</v>
      </c>
      <c r="CQ156" s="45">
        <f t="shared" si="52"/>
        <v>2.7526663280853225</v>
      </c>
      <c r="CR156" s="45">
        <f t="shared" si="53"/>
        <v>3.1824654088050313</v>
      </c>
      <c r="CS156" s="45">
        <f t="shared" si="54"/>
        <v>3.1824654088050313</v>
      </c>
      <c r="CT156" s="72">
        <f t="shared" si="55"/>
        <v>0</v>
      </c>
      <c r="CU156" s="72">
        <f t="shared" si="56"/>
        <v>0</v>
      </c>
      <c r="CV156" s="72">
        <f t="shared" si="57"/>
        <v>1588.3020045761832</v>
      </c>
      <c r="CW156" s="72">
        <f t="shared" si="58"/>
        <v>0</v>
      </c>
      <c r="CX156" s="70">
        <f t="shared" si="59"/>
        <v>74650.194215080614</v>
      </c>
    </row>
    <row r="157" spans="80:102">
      <c r="CB157" s="63">
        <v>26</v>
      </c>
      <c r="CC157" s="63">
        <f>data!$I47</f>
        <v>45</v>
      </c>
      <c r="CD157" s="63">
        <f>data!$J47</f>
        <v>24</v>
      </c>
      <c r="CE157" s="70">
        <f t="shared" si="40"/>
        <v>4615.3846153846152</v>
      </c>
      <c r="CF157" s="71">
        <f t="shared" si="41"/>
        <v>1</v>
      </c>
      <c r="CG157" s="71">
        <f t="shared" si="42"/>
        <v>1</v>
      </c>
      <c r="CH157" s="71">
        <f t="shared" si="43"/>
        <v>0</v>
      </c>
      <c r="CI157" s="71">
        <f t="shared" si="44"/>
        <v>9.5595086143290486E-2</v>
      </c>
      <c r="CJ157" s="72">
        <f t="shared" si="45"/>
        <v>4863.636363636364</v>
      </c>
      <c r="CK157" s="72">
        <f t="shared" si="46"/>
        <v>2266.727272727273</v>
      </c>
      <c r="CL157" s="72">
        <f t="shared" si="47"/>
        <v>2266.727272727273</v>
      </c>
      <c r="CM157" s="70">
        <f t="shared" si="48"/>
        <v>110769.23076923077</v>
      </c>
      <c r="CN157" s="72">
        <f t="shared" si="49"/>
        <v>1820</v>
      </c>
      <c r="CO157" s="72">
        <f t="shared" si="50"/>
        <v>736.36363636363637</v>
      </c>
      <c r="CP157" s="72">
        <f t="shared" si="51"/>
        <v>736.36363636363637</v>
      </c>
      <c r="CQ157" s="45">
        <f t="shared" si="52"/>
        <v>2.6723276723276723</v>
      </c>
      <c r="CR157" s="45">
        <f t="shared" si="53"/>
        <v>3.0782716049382719</v>
      </c>
      <c r="CS157" s="45">
        <f t="shared" si="54"/>
        <v>3.0782716049382719</v>
      </c>
      <c r="CT157" s="72">
        <f t="shared" si="55"/>
        <v>0</v>
      </c>
      <c r="CU157" s="72">
        <f t="shared" si="56"/>
        <v>0</v>
      </c>
      <c r="CV157" s="72">
        <f t="shared" si="57"/>
        <v>1716.4096884701796</v>
      </c>
      <c r="CW157" s="72">
        <f t="shared" si="58"/>
        <v>0</v>
      </c>
      <c r="CX157" s="70">
        <f t="shared" si="59"/>
        <v>41193.832523284313</v>
      </c>
    </row>
    <row r="158" spans="80:102">
      <c r="CB158" s="63">
        <v>27</v>
      </c>
      <c r="CC158" s="63">
        <f>data!$I48</f>
        <v>46</v>
      </c>
      <c r="CD158" s="63">
        <f>data!$J48</f>
        <v>6</v>
      </c>
      <c r="CE158" s="70">
        <f t="shared" si="40"/>
        <v>4800</v>
      </c>
      <c r="CF158" s="71">
        <f t="shared" si="41"/>
        <v>1</v>
      </c>
      <c r="CG158" s="71">
        <f t="shared" si="42"/>
        <v>1</v>
      </c>
      <c r="CH158" s="71">
        <f t="shared" si="43"/>
        <v>0</v>
      </c>
      <c r="CI158" s="71">
        <f t="shared" si="44"/>
        <v>0</v>
      </c>
      <c r="CJ158" s="72">
        <f t="shared" si="45"/>
        <v>4800</v>
      </c>
      <c r="CK158" s="72">
        <f t="shared" si="46"/>
        <v>2233.4</v>
      </c>
      <c r="CL158" s="72">
        <f t="shared" si="47"/>
        <v>2233.4</v>
      </c>
      <c r="CM158" s="70">
        <f t="shared" si="48"/>
        <v>28800</v>
      </c>
      <c r="CN158" s="72">
        <f t="shared" si="49"/>
        <v>1850</v>
      </c>
      <c r="CO158" s="72">
        <f t="shared" si="50"/>
        <v>750</v>
      </c>
      <c r="CP158" s="72">
        <f t="shared" si="51"/>
        <v>750</v>
      </c>
      <c r="CQ158" s="45">
        <f t="shared" si="52"/>
        <v>2.5945945945945947</v>
      </c>
      <c r="CR158" s="45">
        <f t="shared" si="53"/>
        <v>2.9778666666666669</v>
      </c>
      <c r="CS158" s="45">
        <f t="shared" si="54"/>
        <v>2.9778666666666669</v>
      </c>
      <c r="CT158" s="72">
        <f t="shared" si="55"/>
        <v>0</v>
      </c>
      <c r="CU158" s="72">
        <f t="shared" si="56"/>
        <v>0</v>
      </c>
      <c r="CV158" s="72">
        <f t="shared" si="57"/>
        <v>1850</v>
      </c>
      <c r="CW158" s="72">
        <f t="shared" si="58"/>
        <v>0</v>
      </c>
      <c r="CX158" s="70">
        <f t="shared" si="59"/>
        <v>11100</v>
      </c>
    </row>
    <row r="159" spans="80:102">
      <c r="CB159" s="63">
        <v>28</v>
      </c>
      <c r="CC159" s="63">
        <f>data!$I49</f>
        <v>47</v>
      </c>
      <c r="CD159" s="63">
        <f>data!$J49</f>
        <v>0</v>
      </c>
      <c r="CE159" s="70">
        <f t="shared" si="40"/>
        <v>4984.6153846153848</v>
      </c>
      <c r="CF159" s="71">
        <f t="shared" si="41"/>
        <v>1</v>
      </c>
      <c r="CG159" s="71">
        <f t="shared" si="42"/>
        <v>1</v>
      </c>
      <c r="CH159" s="71">
        <f t="shared" si="43"/>
        <v>0</v>
      </c>
      <c r="CI159" s="71">
        <f t="shared" si="44"/>
        <v>0</v>
      </c>
      <c r="CJ159" s="72">
        <f t="shared" si="45"/>
        <v>4736.363636363636</v>
      </c>
      <c r="CK159" s="72">
        <f t="shared" si="46"/>
        <v>2200.0727272727272</v>
      </c>
      <c r="CL159" s="72">
        <f t="shared" si="47"/>
        <v>2200.0727272727272</v>
      </c>
      <c r="CM159" s="70">
        <f t="shared" si="48"/>
        <v>0</v>
      </c>
      <c r="CN159" s="72">
        <f t="shared" si="49"/>
        <v>1880</v>
      </c>
      <c r="CO159" s="72">
        <f t="shared" si="50"/>
        <v>763.63636363636363</v>
      </c>
      <c r="CP159" s="72">
        <f t="shared" si="51"/>
        <v>763.63636363636363</v>
      </c>
      <c r="CQ159" s="45">
        <f t="shared" si="52"/>
        <v>2.5193423597678914</v>
      </c>
      <c r="CR159" s="45">
        <f t="shared" si="53"/>
        <v>2.8810476190476191</v>
      </c>
      <c r="CS159" s="45">
        <f t="shared" si="54"/>
        <v>2.8810476190476191</v>
      </c>
      <c r="CT159" s="72">
        <f t="shared" si="55"/>
        <v>0</v>
      </c>
      <c r="CU159" s="72">
        <f t="shared" si="56"/>
        <v>0</v>
      </c>
      <c r="CV159" s="72">
        <f t="shared" si="57"/>
        <v>0</v>
      </c>
      <c r="CW159" s="72">
        <f t="shared" si="58"/>
        <v>1880</v>
      </c>
      <c r="CX159" s="70">
        <f t="shared" si="59"/>
        <v>0</v>
      </c>
    </row>
    <row r="160" spans="80:102">
      <c r="CB160" s="63">
        <v>29</v>
      </c>
      <c r="CC160" s="63">
        <f>data!$I50</f>
        <v>48</v>
      </c>
      <c r="CD160" s="63">
        <f>data!$J50</f>
        <v>0</v>
      </c>
      <c r="CE160" s="70">
        <f t="shared" si="40"/>
        <v>5169.2307692307695</v>
      </c>
      <c r="CF160" s="71">
        <f t="shared" si="41"/>
        <v>1</v>
      </c>
      <c r="CG160" s="71">
        <f t="shared" si="42"/>
        <v>1</v>
      </c>
      <c r="CH160" s="71">
        <f t="shared" si="43"/>
        <v>0</v>
      </c>
      <c r="CI160" s="71">
        <f t="shared" si="44"/>
        <v>0</v>
      </c>
      <c r="CJ160" s="72">
        <f t="shared" si="45"/>
        <v>4672.727272727273</v>
      </c>
      <c r="CK160" s="72">
        <f t="shared" si="46"/>
        <v>2166.7454545454548</v>
      </c>
      <c r="CL160" s="72">
        <f t="shared" si="47"/>
        <v>2166.7454545454548</v>
      </c>
      <c r="CM160" s="70">
        <f t="shared" si="48"/>
        <v>0</v>
      </c>
      <c r="CN160" s="72">
        <f t="shared" si="49"/>
        <v>1910</v>
      </c>
      <c r="CO160" s="72">
        <f t="shared" si="50"/>
        <v>777.27272727272725</v>
      </c>
      <c r="CP160" s="72">
        <f t="shared" si="51"/>
        <v>777.27272727272725</v>
      </c>
      <c r="CQ160" s="45">
        <f t="shared" si="52"/>
        <v>2.4464540694907186</v>
      </c>
      <c r="CR160" s="45">
        <f t="shared" si="53"/>
        <v>2.7876257309941526</v>
      </c>
      <c r="CS160" s="45">
        <f t="shared" si="54"/>
        <v>2.7876257309941526</v>
      </c>
      <c r="CT160" s="72">
        <f t="shared" si="55"/>
        <v>0</v>
      </c>
      <c r="CU160" s="72">
        <f t="shared" si="56"/>
        <v>0</v>
      </c>
      <c r="CV160" s="72">
        <f t="shared" si="57"/>
        <v>0</v>
      </c>
      <c r="CW160" s="72">
        <f t="shared" si="58"/>
        <v>1910</v>
      </c>
      <c r="CX160" s="70">
        <f t="shared" si="59"/>
        <v>0</v>
      </c>
    </row>
    <row r="161" spans="79:102">
      <c r="CB161" s="63">
        <v>30</v>
      </c>
      <c r="CC161" s="63">
        <f>data!$I51</f>
        <v>49</v>
      </c>
      <c r="CD161" s="63">
        <f>data!$J51</f>
        <v>0</v>
      </c>
      <c r="CE161" s="70">
        <f t="shared" si="40"/>
        <v>5353.8461538461543</v>
      </c>
      <c r="CF161" s="71">
        <f t="shared" si="41"/>
        <v>1</v>
      </c>
      <c r="CG161" s="71">
        <f t="shared" si="42"/>
        <v>1</v>
      </c>
      <c r="CH161" s="71">
        <f t="shared" si="43"/>
        <v>0</v>
      </c>
      <c r="CI161" s="71">
        <f t="shared" si="44"/>
        <v>0</v>
      </c>
      <c r="CJ161" s="72">
        <f t="shared" si="45"/>
        <v>4609.090909090909</v>
      </c>
      <c r="CK161" s="72">
        <f t="shared" si="46"/>
        <v>2133.4181818181819</v>
      </c>
      <c r="CL161" s="72">
        <f t="shared" si="47"/>
        <v>2133.4181818181819</v>
      </c>
      <c r="CM161" s="70">
        <f t="shared" si="48"/>
        <v>0</v>
      </c>
      <c r="CN161" s="72">
        <f t="shared" si="49"/>
        <v>1940</v>
      </c>
      <c r="CO161" s="72">
        <f t="shared" si="50"/>
        <v>790.90909090909088</v>
      </c>
      <c r="CP161" s="72">
        <f t="shared" si="51"/>
        <v>790.90909090909088</v>
      </c>
      <c r="CQ161" s="45">
        <f t="shared" si="52"/>
        <v>2.3758200562324272</v>
      </c>
      <c r="CR161" s="45">
        <f t="shared" si="53"/>
        <v>2.6974252873563223</v>
      </c>
      <c r="CS161" s="45">
        <f t="shared" si="54"/>
        <v>2.6974252873563223</v>
      </c>
      <c r="CT161" s="72">
        <f t="shared" si="55"/>
        <v>0</v>
      </c>
      <c r="CU161" s="72">
        <f t="shared" si="56"/>
        <v>0</v>
      </c>
      <c r="CV161" s="72">
        <f t="shared" si="57"/>
        <v>0</v>
      </c>
      <c r="CW161" s="72">
        <f t="shared" si="58"/>
        <v>1940</v>
      </c>
      <c r="CX161" s="70">
        <f t="shared" si="59"/>
        <v>0</v>
      </c>
    </row>
    <row r="162" spans="79:102">
      <c r="CB162" s="63">
        <v>31</v>
      </c>
      <c r="CC162" s="63">
        <f>data!$I52</f>
        <v>50</v>
      </c>
      <c r="CD162" s="63">
        <f>data!$J52</f>
        <v>0</v>
      </c>
      <c r="CE162" s="70">
        <f t="shared" si="40"/>
        <v>5538.4615384615381</v>
      </c>
      <c r="CF162" s="71">
        <f t="shared" si="41"/>
        <v>1</v>
      </c>
      <c r="CG162" s="71">
        <f t="shared" si="42"/>
        <v>1</v>
      </c>
      <c r="CH162" s="71">
        <f t="shared" si="43"/>
        <v>0</v>
      </c>
      <c r="CI162" s="71">
        <f t="shared" si="44"/>
        <v>0</v>
      </c>
      <c r="CJ162" s="72">
        <f t="shared" si="45"/>
        <v>4545.454545454545</v>
      </c>
      <c r="CK162" s="72">
        <f t="shared" si="46"/>
        <v>2100.090909090909</v>
      </c>
      <c r="CL162" s="72">
        <f t="shared" si="47"/>
        <v>2100.090909090909</v>
      </c>
      <c r="CM162" s="70">
        <f t="shared" si="48"/>
        <v>0</v>
      </c>
      <c r="CN162" s="72">
        <f t="shared" si="49"/>
        <v>1970</v>
      </c>
      <c r="CO162" s="72">
        <f t="shared" si="50"/>
        <v>804.5454545454545</v>
      </c>
      <c r="CP162" s="72">
        <f t="shared" si="51"/>
        <v>804.5454545454545</v>
      </c>
      <c r="CQ162" s="45">
        <f t="shared" si="52"/>
        <v>2.3073373327180433</v>
      </c>
      <c r="CR162" s="45">
        <f t="shared" si="53"/>
        <v>2.6102824858757061</v>
      </c>
      <c r="CS162" s="45">
        <f t="shared" si="54"/>
        <v>2.6102824858757061</v>
      </c>
      <c r="CT162" s="72">
        <f t="shared" si="55"/>
        <v>0</v>
      </c>
      <c r="CU162" s="72">
        <f t="shared" si="56"/>
        <v>0</v>
      </c>
      <c r="CV162" s="72">
        <f t="shared" si="57"/>
        <v>0</v>
      </c>
      <c r="CW162" s="72">
        <f t="shared" si="58"/>
        <v>1970</v>
      </c>
      <c r="CX162" s="70">
        <f t="shared" si="59"/>
        <v>0</v>
      </c>
    </row>
    <row r="163" spans="79:102">
      <c r="CB163" s="63"/>
      <c r="CC163" s="63"/>
      <c r="CD163" s="63">
        <f>SUM(CD132:CD162)</f>
        <v>6493</v>
      </c>
      <c r="CE163" s="63"/>
      <c r="CF163" s="63"/>
      <c r="CG163" s="63"/>
      <c r="CH163" s="63"/>
      <c r="CI163" s="63"/>
      <c r="CJ163" s="63"/>
      <c r="CK163" s="63"/>
      <c r="CM163" s="62">
        <f>SUM(CM132:CM162)</f>
        <v>12655753.846153848</v>
      </c>
      <c r="CO163" s="44"/>
      <c r="CP163" s="44"/>
      <c r="CQ163" s="44"/>
      <c r="CR163" s="44"/>
      <c r="CS163" s="44"/>
      <c r="CT163" s="68"/>
      <c r="CU163" s="68"/>
      <c r="CV163" s="68"/>
      <c r="CX163" s="77">
        <f>SUM(CX132:CX162)</f>
        <v>3193533.8005707809</v>
      </c>
    </row>
    <row r="170" spans="79:102">
      <c r="CA170" s="28" t="s">
        <v>97</v>
      </c>
      <c r="CF170" s="29" t="str">
        <f>data!K7</f>
        <v>CUSTOM</v>
      </c>
      <c r="CQ170" s="30"/>
    </row>
    <row r="171" spans="79:102">
      <c r="CA171" s="28"/>
      <c r="CQ171" s="30"/>
    </row>
    <row r="172" spans="79:102">
      <c r="CA172" s="28"/>
      <c r="CB172" s="37" t="s">
        <v>287</v>
      </c>
      <c r="CC172" s="38">
        <f>'Multi-stage Capacity unit'!$H$32</f>
        <v>4800</v>
      </c>
      <c r="CD172" s="39"/>
      <c r="CE172" s="40" t="s">
        <v>0</v>
      </c>
      <c r="CF172" s="41">
        <f>$CM$223/$CX$223</f>
        <v>3.9629309211920294</v>
      </c>
      <c r="CO172" s="42"/>
      <c r="CQ172" s="43"/>
    </row>
    <row r="173" spans="79:102">
      <c r="CA173" s="28"/>
      <c r="CQ173" s="43"/>
    </row>
    <row r="174" spans="79:102" ht="15">
      <c r="CA174" s="28"/>
      <c r="CC174" s="44" t="s">
        <v>263</v>
      </c>
      <c r="CD174" s="44" t="s">
        <v>288</v>
      </c>
      <c r="CE174" s="44" t="s">
        <v>187</v>
      </c>
      <c r="CG174" s="44" t="s">
        <v>19</v>
      </c>
      <c r="CH174" s="61">
        <f>IF('Multi-stage Capacity unit'!$BD$31="Required test",data!$K$14,IF('Multi-stage Capacity unit'!$BD$35="Not Measure",IF('Multi-stage Capacity unit'!$BD$48="Default",data!$K$14,$CK$178),IF('Multi-stage Capacity unit'!$BD$50="Default",data!$K$14,$CM$178)))</f>
        <v>0.27</v>
      </c>
      <c r="CK174" s="40" t="s">
        <v>79</v>
      </c>
      <c r="CL174" s="40" t="s">
        <v>80</v>
      </c>
      <c r="CM174" s="40" t="s">
        <v>77</v>
      </c>
      <c r="CN174" s="40" t="s">
        <v>78</v>
      </c>
    </row>
    <row r="175" spans="79:102">
      <c r="CA175" s="28"/>
      <c r="CB175" s="51" t="s">
        <v>18</v>
      </c>
      <c r="CC175" s="52">
        <f>'Multi-stage Capacity unit'!$H$32</f>
        <v>4800</v>
      </c>
      <c r="CD175" s="52">
        <f>IF('Multi-stage Capacity unit'!$BD$31="Required test",$CD$180*$CH$177,IF('Multi-stage Capacity unit'!$BD$38="Default",$CD$180*$CH$177,'Multi-stage Capacity unit'!$H$33))</f>
        <v>2233.4</v>
      </c>
      <c r="CE175" s="52">
        <f>IF('Multi-stage Capacity unit'!$BD$31="Required test",$CD$175,IF('Multi-stage Capacity unit'!$BD$35="Not Measure",$CD$175,IF('Multi-stage Capacity unit'!$BD$39="Default",$CE$180*$CH$177,'Multi-stage Capacity unit'!$H$34)))</f>
        <v>2233.4</v>
      </c>
      <c r="CG175" s="40" t="s">
        <v>289</v>
      </c>
      <c r="CH175" s="44">
        <f>data!$K$15</f>
        <v>1.077</v>
      </c>
      <c r="CJ175" s="40" t="s">
        <v>18</v>
      </c>
      <c r="CK175" s="40">
        <f>'Multi-stage Capacity unit'!$H$51</f>
        <v>2300</v>
      </c>
      <c r="CL175" s="40">
        <f>'Multi-stage Capacity unit'!$H$50</f>
        <v>3200</v>
      </c>
      <c r="CM175" s="40">
        <f>'Multi-stage Capacity unit'!$H$53</f>
        <v>2500</v>
      </c>
      <c r="CN175" s="40">
        <f>'Multi-stage Capacity unit'!$H$52</f>
        <v>3500</v>
      </c>
    </row>
    <row r="176" spans="79:102">
      <c r="CA176" s="28"/>
      <c r="CB176" s="51" t="s">
        <v>83</v>
      </c>
      <c r="CC176" s="52">
        <f>'Multi-stage Capacity unit'!$L$32</f>
        <v>1850</v>
      </c>
      <c r="CD176" s="52">
        <f>IF('Multi-stage Capacity unit'!$BD$31="Required test",$CD$181*$CH$178,IF('Multi-stage Capacity unit'!$BD$38="Default",$CD$181*$CH$178,'Multi-stage Capacity unit'!$L$33))</f>
        <v>750</v>
      </c>
      <c r="CE176" s="52">
        <f>IF('Multi-stage Capacity unit'!$BD$31="Required test",$CD$176,IF('Multi-stage Capacity unit'!$BD$35="Not Measure",$CD$176,IF('Multi-stage Capacity unit'!$BD$39="Default",$CE$181*$CH$178,'Multi-stage Capacity unit'!$L$34)))</f>
        <v>750</v>
      </c>
      <c r="CG176" s="40" t="s">
        <v>290</v>
      </c>
      <c r="CH176" s="44">
        <f>data!$K$16</f>
        <v>0.91400000000000003</v>
      </c>
      <c r="CJ176" s="40" t="s">
        <v>1</v>
      </c>
      <c r="CK176" s="40">
        <f>'Multi-stage Capacity unit'!$L$51</f>
        <v>490</v>
      </c>
      <c r="CL176" s="40">
        <f>'Multi-stage Capacity unit'!$L$50</f>
        <v>600</v>
      </c>
      <c r="CM176" s="40">
        <f>'Multi-stage Capacity unit'!$L$53</f>
        <v>500</v>
      </c>
      <c r="CN176" s="40">
        <f>'Multi-stage Capacity unit'!$L$52</f>
        <v>580</v>
      </c>
    </row>
    <row r="177" spans="79:102">
      <c r="CA177" s="28"/>
      <c r="CB177" s="44" t="s">
        <v>215</v>
      </c>
      <c r="CC177" s="61">
        <f>$CC$175/$CC$176</f>
        <v>2.5945945945945947</v>
      </c>
      <c r="CD177" s="61">
        <f>$CD$175/$CD$176</f>
        <v>2.9778666666666669</v>
      </c>
      <c r="CE177" s="61">
        <f>$CE$175/$CE$176</f>
        <v>2.9778666666666669</v>
      </c>
      <c r="CG177" s="40" t="s">
        <v>191</v>
      </c>
      <c r="CH177" s="44">
        <f>data!$K$17</f>
        <v>0.85899999999999999</v>
      </c>
      <c r="CJ177" s="40" t="s">
        <v>242</v>
      </c>
      <c r="CK177" s="41">
        <f>$CK$175/$CK$176</f>
        <v>4.6938775510204085</v>
      </c>
      <c r="CL177" s="41">
        <f>$CL$175/$CL$176</f>
        <v>5.333333333333333</v>
      </c>
      <c r="CM177" s="41">
        <f>$CM$175/$CM$176</f>
        <v>5</v>
      </c>
      <c r="CN177" s="41">
        <f>$CN$175/$CN$176</f>
        <v>6.0344827586206895</v>
      </c>
    </row>
    <row r="178" spans="79:102">
      <c r="CA178" s="28"/>
      <c r="CB178" s="44"/>
      <c r="CG178" s="40" t="s">
        <v>291</v>
      </c>
      <c r="CH178" s="44">
        <f>data!$K$18</f>
        <v>1.25</v>
      </c>
      <c r="CJ178" s="40" t="s">
        <v>76</v>
      </c>
      <c r="CK178" s="150">
        <f>(1-($CK$177/$CL$177))/(1-($CK$175/$CL$175))</f>
        <v>0.42630385487528322</v>
      </c>
      <c r="CL178" s="150"/>
      <c r="CM178" s="150">
        <f>(1-($CM$177/$CN$177))/(1-($CM$175/$CN$175))</f>
        <v>0.59999999999999987</v>
      </c>
      <c r="CN178" s="150"/>
    </row>
    <row r="179" spans="79:102" ht="15">
      <c r="CA179" s="28"/>
      <c r="CB179" s="44"/>
      <c r="CC179" s="44" t="s">
        <v>292</v>
      </c>
      <c r="CD179" s="44" t="s">
        <v>293</v>
      </c>
      <c r="CE179" s="44" t="s">
        <v>294</v>
      </c>
      <c r="CG179" s="44" t="s">
        <v>146</v>
      </c>
      <c r="CH179" s="63">
        <f>data!$K$11</f>
        <v>20</v>
      </c>
    </row>
    <row r="180" spans="79:102" ht="15">
      <c r="CA180" s="28"/>
      <c r="CB180" s="51" t="s">
        <v>18</v>
      </c>
      <c r="CC180" s="52">
        <f>'Multi-stage Capacity unit'!$H$38</f>
        <v>5500</v>
      </c>
      <c r="CD180" s="52">
        <f>'Multi-stage Capacity unit'!$H$39</f>
        <v>2600</v>
      </c>
      <c r="CE180" s="52">
        <f>IF('Multi-stage Capacity unit'!$BD$31="Required test",$CD$180,IF('Multi-stage Capacity unit'!$BD$35="Not Measure",$CD$180,IF('Multi-stage Capacity unit'!$BD$42="Default",$CD$180,'Multi-stage Capacity unit'!$H$40)))</f>
        <v>2600</v>
      </c>
      <c r="CG180" s="44" t="s">
        <v>295</v>
      </c>
      <c r="CH180" s="63">
        <f>data!$K$12</f>
        <v>46</v>
      </c>
      <c r="CQ180" s="44"/>
    </row>
    <row r="181" spans="79:102">
      <c r="CA181" s="28"/>
      <c r="CB181" s="51" t="s">
        <v>83</v>
      </c>
      <c r="CC181" s="52">
        <f>'Multi-stage Capacity unit'!$L$38</f>
        <v>1520</v>
      </c>
      <c r="CD181" s="52">
        <f>'Multi-stage Capacity unit'!$L$39</f>
        <v>600</v>
      </c>
      <c r="CE181" s="52">
        <f>IF('Multi-stage Capacity unit'!$BD$31="Required test",$CD$181,IF('Multi-stage Capacity unit'!$BD$35="Not Measure",$CD$181,IF('Multi-stage Capacity unit'!$BD$42="Default",$CD$181,'Multi-stage Capacity unit'!$L$40)))</f>
        <v>600</v>
      </c>
    </row>
    <row r="182" spans="79:102">
      <c r="CA182" s="28"/>
      <c r="CB182" s="44" t="s">
        <v>152</v>
      </c>
      <c r="CC182" s="61">
        <f>$CC$180/$CC$181</f>
        <v>3.6184210526315788</v>
      </c>
      <c r="CD182" s="61">
        <f>$CD$180/$CD$181</f>
        <v>4.333333333333333</v>
      </c>
      <c r="CE182" s="61">
        <f>$CE$180/$CE$181</f>
        <v>4.333333333333333</v>
      </c>
    </row>
    <row r="183" spans="79:102">
      <c r="CA183" s="28"/>
      <c r="CB183" s="44"/>
      <c r="CC183" s="44"/>
      <c r="CD183" s="44"/>
      <c r="CE183" s="63"/>
    </row>
    <row r="184" spans="79:102" ht="15">
      <c r="CA184" s="28"/>
      <c r="CB184" s="44"/>
      <c r="CC184" s="44" t="s">
        <v>244</v>
      </c>
      <c r="CD184" s="44" t="s">
        <v>296</v>
      </c>
      <c r="CE184" s="44" t="s">
        <v>214</v>
      </c>
    </row>
    <row r="185" spans="79:102">
      <c r="CA185" s="28"/>
      <c r="CB185" s="51" t="s">
        <v>18</v>
      </c>
      <c r="CC185" s="52">
        <f>IF('Multi-stage Capacity unit'!$BD$31="Required test",$CC$180*$CH$175,IF('Multi-stage Capacity unit'!$BD$43="Default",$CC$180*$CH$175,'Multi-stage Capacity unit'!$H$44))</f>
        <v>5923.5</v>
      </c>
      <c r="CD185" s="52">
        <f>IF('Multi-stage Capacity unit'!$BD$31="Required test",$CD$180*$CH$175,IF('Multi-stage Capacity unit'!$BD$44="Default",$CD$180*$CH$175,'Multi-stage Capacity unit'!$H$45))</f>
        <v>2800.2</v>
      </c>
      <c r="CE185" s="52">
        <f>IF('Multi-stage Capacity unit'!$BD$31="Required test",$CD$185,IF('Multi-stage Capacity unit'!$BD$35="Not Measure",$CD$185,IF('Multi-stage Capacity unit'!$BD$45="Default",$CE$180*$CH$175,'Multi-stage Capacity unit'!$H$46)))</f>
        <v>2800.2</v>
      </c>
    </row>
    <row r="186" spans="79:102">
      <c r="CA186" s="28"/>
      <c r="CB186" s="51" t="s">
        <v>83</v>
      </c>
      <c r="CC186" s="52">
        <f>IF('Multi-stage Capacity unit'!$BD$31="Required test",$CC$181*$CH$176,IF('Multi-stage Capacity unit'!$BD$43="Default",$CC$181*$CH$176,'Multi-stage Capacity unit'!$L$44))</f>
        <v>1389.28</v>
      </c>
      <c r="CD186" s="52">
        <f>IF('Multi-stage Capacity unit'!$BD$31="Required test",$CD$181*$CH$176,IF('Multi-stage Capacity unit'!$BD$44="Default",$CD$181*$CH$176,'Multi-stage Capacity unit'!$L$45))</f>
        <v>548.4</v>
      </c>
      <c r="CE186" s="52">
        <f>IF('Multi-stage Capacity unit'!$BD$31="Required test",$CD$186,IF('Multi-stage Capacity unit'!$BD$35="Not Measure",$CD$186,IF('Multi-stage Capacity unit'!$BD$45="Default",$CE$181*$CH$176,'Multi-stage Capacity unit'!$L$46)))</f>
        <v>548.4</v>
      </c>
    </row>
    <row r="187" spans="79:102">
      <c r="CA187" s="28"/>
      <c r="CB187" s="44" t="s">
        <v>297</v>
      </c>
      <c r="CC187" s="61">
        <f>$CC$185/$CC$186</f>
        <v>4.2637193366348036</v>
      </c>
      <c r="CD187" s="61">
        <f>$CD$185/$CD$186</f>
        <v>5.1061269146608312</v>
      </c>
      <c r="CE187" s="61">
        <f>$CE$185/$CE$186</f>
        <v>5.1061269146608312</v>
      </c>
    </row>
    <row r="188" spans="79:102">
      <c r="CA188" s="28"/>
    </row>
    <row r="189" spans="79:102">
      <c r="CA189" s="28"/>
      <c r="CB189" s="97" t="s">
        <v>5</v>
      </c>
      <c r="CC189" s="98" t="s">
        <v>7</v>
      </c>
      <c r="CD189" s="97" t="s">
        <v>8</v>
      </c>
      <c r="CE189" s="66" t="s">
        <v>9</v>
      </c>
      <c r="CF189" s="66" t="s">
        <v>10</v>
      </c>
      <c r="CG189" s="99" t="s">
        <v>20</v>
      </c>
      <c r="CH189" s="99"/>
      <c r="CI189" s="99"/>
      <c r="CJ189" s="99" t="s">
        <v>11</v>
      </c>
      <c r="CK189" s="99"/>
      <c r="CL189" s="99"/>
      <c r="CM189" s="67" t="s">
        <v>2</v>
      </c>
      <c r="CN189" s="99" t="s">
        <v>13</v>
      </c>
      <c r="CO189" s="99"/>
      <c r="CP189" s="99"/>
      <c r="CQ189" s="99" t="s">
        <v>16</v>
      </c>
      <c r="CR189" s="99"/>
      <c r="CS189" s="99"/>
      <c r="CT189" s="99" t="s">
        <v>17</v>
      </c>
      <c r="CU189" s="99"/>
      <c r="CV189" s="99"/>
      <c r="CW189" s="99"/>
      <c r="CX189" s="67" t="s">
        <v>3</v>
      </c>
    </row>
    <row r="190" spans="79:102">
      <c r="CB190" s="97"/>
      <c r="CC190" s="98"/>
      <c r="CD190" s="97"/>
      <c r="CE190" s="67" t="s">
        <v>298</v>
      </c>
      <c r="CF190" s="96" t="s">
        <v>247</v>
      </c>
      <c r="CG190" s="96" t="s">
        <v>218</v>
      </c>
      <c r="CH190" s="96" t="s">
        <v>274</v>
      </c>
      <c r="CI190" s="96" t="s">
        <v>299</v>
      </c>
      <c r="CJ190" s="68" t="s">
        <v>4</v>
      </c>
      <c r="CK190" s="68" t="s">
        <v>14</v>
      </c>
      <c r="CL190" s="68" t="s">
        <v>12</v>
      </c>
      <c r="CM190" s="96" t="s">
        <v>300</v>
      </c>
      <c r="CN190" s="68" t="s">
        <v>4</v>
      </c>
      <c r="CO190" s="68" t="s">
        <v>14</v>
      </c>
      <c r="CP190" s="68" t="s">
        <v>12</v>
      </c>
      <c r="CQ190" s="68" t="s">
        <v>4</v>
      </c>
      <c r="CR190" s="68" t="s">
        <v>14</v>
      </c>
      <c r="CS190" s="68" t="s">
        <v>98</v>
      </c>
      <c r="CT190" s="68" t="s">
        <v>276</v>
      </c>
      <c r="CU190" s="68" t="s">
        <v>301</v>
      </c>
      <c r="CV190" s="68" t="s">
        <v>223</v>
      </c>
      <c r="CW190" s="68" t="s">
        <v>84</v>
      </c>
      <c r="CX190" s="96" t="s">
        <v>302</v>
      </c>
    </row>
    <row r="191" spans="79:102" ht="15">
      <c r="CB191" s="63" t="s">
        <v>6</v>
      </c>
      <c r="CC191" s="63" t="s">
        <v>303</v>
      </c>
      <c r="CD191" s="63" t="s">
        <v>226</v>
      </c>
      <c r="CE191" s="68" t="s">
        <v>15</v>
      </c>
      <c r="CF191" s="99"/>
      <c r="CG191" s="99"/>
      <c r="CH191" s="96"/>
      <c r="CI191" s="99"/>
      <c r="CJ191" s="67" t="s">
        <v>253</v>
      </c>
      <c r="CK191" s="67" t="s">
        <v>228</v>
      </c>
      <c r="CL191" s="67" t="s">
        <v>304</v>
      </c>
      <c r="CM191" s="96"/>
      <c r="CN191" s="68" t="s">
        <v>305</v>
      </c>
      <c r="CO191" s="68" t="s">
        <v>306</v>
      </c>
      <c r="CP191" s="68" t="s">
        <v>281</v>
      </c>
      <c r="CQ191" s="67" t="s">
        <v>282</v>
      </c>
      <c r="CR191" s="67" t="s">
        <v>307</v>
      </c>
      <c r="CS191" s="67" t="s">
        <v>308</v>
      </c>
      <c r="CT191" s="67" t="s">
        <v>173</v>
      </c>
      <c r="CU191" s="67" t="s">
        <v>309</v>
      </c>
      <c r="CV191" s="67" t="s">
        <v>286</v>
      </c>
      <c r="CW191" s="67" t="s">
        <v>310</v>
      </c>
      <c r="CX191" s="96"/>
    </row>
    <row r="192" spans="79:102">
      <c r="CB192" s="63">
        <v>1</v>
      </c>
      <c r="CC192" s="63">
        <f>data!$K22</f>
        <v>20</v>
      </c>
      <c r="CD192" s="63">
        <f>data!$L22</f>
        <v>0</v>
      </c>
      <c r="CE192" s="70">
        <f t="shared" ref="CE192:CE222" si="60">$CC$172*($CC192-$CH$179)/($CH$180-$CH$179)</f>
        <v>0</v>
      </c>
      <c r="CF192" s="71">
        <f t="shared" ref="CF192:CF222" si="61">1-$CH$174*(1-$CG192)</f>
        <v>0.73</v>
      </c>
      <c r="CG192" s="71">
        <f t="shared" ref="CG192:CG222" si="62">IF($CE192&lt;$CL192,$CE192/$CL192,1)</f>
        <v>0</v>
      </c>
      <c r="CH192" s="71">
        <f t="shared" ref="CH192:CH222" si="63">IF($CK192-$CL192=0,0,IF(($CK192-$CE192)/($CK192-$CL192)&gt;1,1,IF(($CK192-$CE192)/($CK192-$CL192)&lt;0,0,($CK192-$CE192)/($CK192-$CL192))))</f>
        <v>0</v>
      </c>
      <c r="CI192" s="71">
        <f t="shared" ref="CI192:CI222" si="64">IF(($CJ192-$CE192)/($CJ192-$CK192)&gt;1,1,IF(($CJ192-$CE192)/($CJ192-$CK192)&lt;0,0,($CJ192-$CE192)/($CJ192-$CK192)))</f>
        <v>1</v>
      </c>
      <c r="CJ192" s="72">
        <f t="shared" ref="CJ192:CJ222" si="65">IF($CC192&lt;=35,$CC$180+($CC$185-$CC$180)/(35-29)*(35-$CC192),$CC$175+($CC$180-$CC$175)/(46-35)*(46-$CC192))</f>
        <v>6558.75</v>
      </c>
      <c r="CK192" s="72">
        <f t="shared" ref="CK192:CK222" si="66">IF($CC192&lt;=35,$CD$180+($CD$185-$CD$180)/(35-29)*(35-$CC192),$CD$175+($CD$180-$CD$175)/(46-35)*(46-$CC192))</f>
        <v>3100.4999999999995</v>
      </c>
      <c r="CL192" s="72">
        <f t="shared" ref="CL192:CL222" si="67">IF($CC192&lt;=35,$CE$180+($CE$185-$CE$180)/(35-29)*(35-$CC192),$CE$175+($CE$180-$CE$175)/(46-35)*(46-$CC192))</f>
        <v>3100.4999999999995</v>
      </c>
      <c r="CM192" s="70">
        <f t="shared" ref="CM192:CM222" si="68">IF($CE192&lt;$CJ192,$CE192*$CD192,$CJ192*$CD192)</f>
        <v>0</v>
      </c>
      <c r="CN192" s="72">
        <f t="shared" ref="CN192:CN218" si="69">IF($CC192&lt;=35,$CC$181+($CC$186-$CC$181)/(35-29)*(35-$CC192),$CC$176+($CC$181-$CC$176)/(46-35)*(46-$CC192))</f>
        <v>1193.1999999999998</v>
      </c>
      <c r="CO192" s="72">
        <f t="shared" ref="CO192:CO218" si="70">IF($CC192&lt;=35,$CD$181+($CD$186-$CD$181)/(35-29)*(35-$CC192),$CD$176+($CD$181-$CD$176)/(46-35)*(46-$CC192))</f>
        <v>470.99999999999994</v>
      </c>
      <c r="CP192" s="72">
        <f t="shared" ref="CP192:CP218" si="71">IF($CC192&lt;=35,$CE$181+(($CE$186-$CE$181)/(35-29)*(35-$CC192)),($CE$176+($CE$181-$CE$176)/(46-35)*(46-$CC192)))</f>
        <v>470.99999999999994</v>
      </c>
      <c r="CQ192" s="45">
        <f t="shared" ref="CQ192:CQ218" si="72">$CJ192/$CN192</f>
        <v>5.4967733825008391</v>
      </c>
      <c r="CR192" s="45">
        <f t="shared" ref="CR192:CR218" si="73">$CK192/$CO192</f>
        <v>6.5828025477707008</v>
      </c>
      <c r="CS192" s="45">
        <f t="shared" ref="CS192:CS218" si="74">$CL192/$CP192</f>
        <v>6.5828025477707008</v>
      </c>
      <c r="CT192" s="72">
        <f t="shared" ref="CT192:CT218" si="75">IF($CE192&lt;=$CL192,$CG192*$CP192/$CF192,0)</f>
        <v>0</v>
      </c>
      <c r="CU192" s="72">
        <f t="shared" ref="CU192:CU218" si="76">IF($CL192&lt;$CE192,IF($CE192&lt;=$CK192,$CH192*$CP192+(1-$CH192)*$CO192,0),0)</f>
        <v>0</v>
      </c>
      <c r="CV192" s="72">
        <f t="shared" ref="CV192:CV218" si="77">IF($CK192&lt;$CE192,IF($CE192&lt;=$CJ192,$CI192*$CO192+(1-$CI192)*$CN192,0),0)</f>
        <v>0</v>
      </c>
      <c r="CW192" s="72">
        <f t="shared" ref="CW192:CW218" si="78">IF($CE192&gt;$CJ192,$CN192,0)</f>
        <v>0</v>
      </c>
      <c r="CX192" s="70">
        <f t="shared" ref="CX192:CX222" si="79">IF($CF192=0,0,$CT192*$CD192+$CU192*$CD192+$CV192*$CD192+$CW192*$CD192)</f>
        <v>0</v>
      </c>
    </row>
    <row r="193" spans="80:102">
      <c r="CB193" s="63">
        <v>2</v>
      </c>
      <c r="CC193" s="63">
        <f>data!$K23</f>
        <v>21</v>
      </c>
      <c r="CD193" s="63">
        <f>data!$L23</f>
        <v>307</v>
      </c>
      <c r="CE193" s="70">
        <f t="shared" si="60"/>
        <v>184.61538461538461</v>
      </c>
      <c r="CF193" s="71">
        <f t="shared" si="61"/>
        <v>0.74625170751608039</v>
      </c>
      <c r="CG193" s="71">
        <f t="shared" si="62"/>
        <v>6.019150931881604E-2</v>
      </c>
      <c r="CH193" s="71">
        <f t="shared" si="63"/>
        <v>0</v>
      </c>
      <c r="CI193" s="71">
        <f t="shared" si="64"/>
        <v>1</v>
      </c>
      <c r="CJ193" s="72">
        <f t="shared" si="65"/>
        <v>6488.166666666667</v>
      </c>
      <c r="CK193" s="72">
        <f t="shared" si="66"/>
        <v>3067.1333333333328</v>
      </c>
      <c r="CL193" s="72">
        <f t="shared" si="67"/>
        <v>3067.1333333333328</v>
      </c>
      <c r="CM193" s="70">
        <f t="shared" si="68"/>
        <v>56676.923076923078</v>
      </c>
      <c r="CN193" s="72">
        <f t="shared" si="69"/>
        <v>1214.9866666666667</v>
      </c>
      <c r="CO193" s="72">
        <f t="shared" si="70"/>
        <v>479.59999999999997</v>
      </c>
      <c r="CP193" s="72">
        <f t="shared" si="71"/>
        <v>479.59999999999997</v>
      </c>
      <c r="CQ193" s="45">
        <f t="shared" si="72"/>
        <v>5.340113471752777</v>
      </c>
      <c r="CR193" s="45">
        <f t="shared" si="73"/>
        <v>6.3951904364748398</v>
      </c>
      <c r="CS193" s="45">
        <f t="shared" si="74"/>
        <v>6.3951904364748398</v>
      </c>
      <c r="CT193" s="72">
        <f t="shared" si="75"/>
        <v>38.683794728445726</v>
      </c>
      <c r="CU193" s="72">
        <f t="shared" si="76"/>
        <v>0</v>
      </c>
      <c r="CV193" s="72">
        <f t="shared" si="77"/>
        <v>0</v>
      </c>
      <c r="CW193" s="72">
        <f t="shared" si="78"/>
        <v>0</v>
      </c>
      <c r="CX193" s="70">
        <f t="shared" si="79"/>
        <v>11875.924981632837</v>
      </c>
    </row>
    <row r="194" spans="80:102">
      <c r="CB194" s="63">
        <v>3</v>
      </c>
      <c r="CC194" s="63">
        <f>data!$K24</f>
        <v>22</v>
      </c>
      <c r="CD194" s="63">
        <f>data!$L24</f>
        <v>311</v>
      </c>
      <c r="CE194" s="70">
        <f t="shared" si="60"/>
        <v>369.23076923076923</v>
      </c>
      <c r="CF194" s="71">
        <f t="shared" si="61"/>
        <v>0.762860901528015</v>
      </c>
      <c r="CG194" s="71">
        <f t="shared" si="62"/>
        <v>0.12170704269635192</v>
      </c>
      <c r="CH194" s="71">
        <f t="shared" si="63"/>
        <v>0</v>
      </c>
      <c r="CI194" s="71">
        <f t="shared" si="64"/>
        <v>1</v>
      </c>
      <c r="CJ194" s="72">
        <f t="shared" si="65"/>
        <v>6417.583333333333</v>
      </c>
      <c r="CK194" s="72">
        <f t="shared" si="66"/>
        <v>3033.7666666666664</v>
      </c>
      <c r="CL194" s="72">
        <f t="shared" si="67"/>
        <v>3033.7666666666664</v>
      </c>
      <c r="CM194" s="70">
        <f t="shared" si="68"/>
        <v>114830.76923076923</v>
      </c>
      <c r="CN194" s="72">
        <f t="shared" si="69"/>
        <v>1236.7733333333333</v>
      </c>
      <c r="CO194" s="72">
        <f t="shared" si="70"/>
        <v>488.19999999999993</v>
      </c>
      <c r="CP194" s="72">
        <f t="shared" si="71"/>
        <v>488.19999999999993</v>
      </c>
      <c r="CQ194" s="45">
        <f t="shared" si="72"/>
        <v>5.1889729187778952</v>
      </c>
      <c r="CR194" s="45">
        <f t="shared" si="73"/>
        <v>6.2141881742455283</v>
      </c>
      <c r="CS194" s="45">
        <f t="shared" si="74"/>
        <v>6.2141881742455283</v>
      </c>
      <c r="CT194" s="72">
        <f t="shared" si="75"/>
        <v>77.887565249897634</v>
      </c>
      <c r="CU194" s="72">
        <f t="shared" si="76"/>
        <v>0</v>
      </c>
      <c r="CV194" s="72">
        <f t="shared" si="77"/>
        <v>0</v>
      </c>
      <c r="CW194" s="72">
        <f t="shared" si="78"/>
        <v>0</v>
      </c>
      <c r="CX194" s="70">
        <f t="shared" si="79"/>
        <v>24223.032792718164</v>
      </c>
    </row>
    <row r="195" spans="80:102">
      <c r="CB195" s="63">
        <v>4</v>
      </c>
      <c r="CC195" s="63">
        <f>data!$K25</f>
        <v>23</v>
      </c>
      <c r="CD195" s="63">
        <f>data!$L25</f>
        <v>317</v>
      </c>
      <c r="CE195" s="70">
        <f t="shared" si="60"/>
        <v>553.84615384615381</v>
      </c>
      <c r="CF195" s="71">
        <f t="shared" si="61"/>
        <v>0.77983950857834339</v>
      </c>
      <c r="CG195" s="71">
        <f t="shared" si="62"/>
        <v>0.18459077251238298</v>
      </c>
      <c r="CH195" s="71">
        <f t="shared" si="63"/>
        <v>0</v>
      </c>
      <c r="CI195" s="71">
        <f t="shared" si="64"/>
        <v>1</v>
      </c>
      <c r="CJ195" s="72">
        <f t="shared" si="65"/>
        <v>6347</v>
      </c>
      <c r="CK195" s="72">
        <f t="shared" si="66"/>
        <v>3000.3999999999996</v>
      </c>
      <c r="CL195" s="72">
        <f t="shared" si="67"/>
        <v>3000.3999999999996</v>
      </c>
      <c r="CM195" s="70">
        <f t="shared" si="68"/>
        <v>175569.23076923075</v>
      </c>
      <c r="CN195" s="72">
        <f t="shared" si="69"/>
        <v>1258.56</v>
      </c>
      <c r="CO195" s="72">
        <f t="shared" si="70"/>
        <v>496.79999999999995</v>
      </c>
      <c r="CP195" s="72">
        <f t="shared" si="71"/>
        <v>496.79999999999995</v>
      </c>
      <c r="CQ195" s="45">
        <f t="shared" si="72"/>
        <v>5.0430650902618872</v>
      </c>
      <c r="CR195" s="45">
        <f t="shared" si="73"/>
        <v>6.0394524959742348</v>
      </c>
      <c r="CS195" s="45">
        <f t="shared" si="74"/>
        <v>6.0394524959742348</v>
      </c>
      <c r="CT195" s="72">
        <f t="shared" si="75"/>
        <v>117.59431879942912</v>
      </c>
      <c r="CU195" s="72">
        <f t="shared" si="76"/>
        <v>0</v>
      </c>
      <c r="CV195" s="72">
        <f t="shared" si="77"/>
        <v>0</v>
      </c>
      <c r="CW195" s="72">
        <f t="shared" si="78"/>
        <v>0</v>
      </c>
      <c r="CX195" s="70">
        <f t="shared" si="79"/>
        <v>37277.399059419033</v>
      </c>
    </row>
    <row r="196" spans="80:102">
      <c r="CB196" s="63">
        <v>5</v>
      </c>
      <c r="CC196" s="63">
        <f>data!$K26</f>
        <v>24</v>
      </c>
      <c r="CD196" s="63">
        <f>data!$L26</f>
        <v>325</v>
      </c>
      <c r="CE196" s="70">
        <f t="shared" si="60"/>
        <v>738.46153846153845</v>
      </c>
      <c r="CF196" s="71">
        <f t="shared" si="61"/>
        <v>0.7971999917037047</v>
      </c>
      <c r="CG196" s="71">
        <f t="shared" si="62"/>
        <v>0.2488888581618694</v>
      </c>
      <c r="CH196" s="71">
        <f t="shared" si="63"/>
        <v>0</v>
      </c>
      <c r="CI196" s="71">
        <f t="shared" si="64"/>
        <v>1</v>
      </c>
      <c r="CJ196" s="72">
        <f t="shared" si="65"/>
        <v>6276.416666666667</v>
      </c>
      <c r="CK196" s="72">
        <f t="shared" si="66"/>
        <v>2967.0333333333328</v>
      </c>
      <c r="CL196" s="72">
        <f t="shared" si="67"/>
        <v>2967.0333333333328</v>
      </c>
      <c r="CM196" s="70">
        <f t="shared" si="68"/>
        <v>240000</v>
      </c>
      <c r="CN196" s="72">
        <f t="shared" si="69"/>
        <v>1280.3466666666666</v>
      </c>
      <c r="CO196" s="72">
        <f t="shared" si="70"/>
        <v>505.4</v>
      </c>
      <c r="CP196" s="72">
        <f t="shared" si="71"/>
        <v>505.4</v>
      </c>
      <c r="CQ196" s="45">
        <f t="shared" si="72"/>
        <v>4.9021228625580582</v>
      </c>
      <c r="CR196" s="45">
        <f t="shared" si="73"/>
        <v>5.8706635008574057</v>
      </c>
      <c r="CS196" s="45">
        <f t="shared" si="74"/>
        <v>5.8706635008574057</v>
      </c>
      <c r="CT196" s="72">
        <f t="shared" si="75"/>
        <v>157.78779506279847</v>
      </c>
      <c r="CU196" s="72">
        <f t="shared" si="76"/>
        <v>0</v>
      </c>
      <c r="CV196" s="72">
        <f t="shared" si="77"/>
        <v>0</v>
      </c>
      <c r="CW196" s="72">
        <f t="shared" si="78"/>
        <v>0</v>
      </c>
      <c r="CX196" s="70">
        <f t="shared" si="79"/>
        <v>51281.033395409504</v>
      </c>
    </row>
    <row r="197" spans="80:102">
      <c r="CB197" s="63">
        <v>6</v>
      </c>
      <c r="CC197" s="63">
        <f>data!$K27</f>
        <v>25</v>
      </c>
      <c r="CD197" s="63">
        <f>data!$L27</f>
        <v>334</v>
      </c>
      <c r="CE197" s="70">
        <f t="shared" si="60"/>
        <v>923.07692307692309</v>
      </c>
      <c r="CF197" s="71">
        <f t="shared" si="61"/>
        <v>0.81495538094447306</v>
      </c>
      <c r="CG197" s="71">
        <f t="shared" si="62"/>
        <v>0.31464955905360409</v>
      </c>
      <c r="CH197" s="71">
        <f t="shared" si="63"/>
        <v>0</v>
      </c>
      <c r="CI197" s="71">
        <f t="shared" si="64"/>
        <v>1</v>
      </c>
      <c r="CJ197" s="72">
        <f t="shared" si="65"/>
        <v>6205.833333333333</v>
      </c>
      <c r="CK197" s="72">
        <f t="shared" si="66"/>
        <v>2933.6666666666665</v>
      </c>
      <c r="CL197" s="72">
        <f t="shared" si="67"/>
        <v>2933.6666666666665</v>
      </c>
      <c r="CM197" s="70">
        <f t="shared" si="68"/>
        <v>308307.69230769231</v>
      </c>
      <c r="CN197" s="72">
        <f t="shared" si="69"/>
        <v>1302.1333333333332</v>
      </c>
      <c r="CO197" s="72">
        <f t="shared" si="70"/>
        <v>514</v>
      </c>
      <c r="CP197" s="72">
        <f t="shared" si="71"/>
        <v>514</v>
      </c>
      <c r="CQ197" s="45">
        <f t="shared" si="72"/>
        <v>4.7658969895556016</v>
      </c>
      <c r="CR197" s="45">
        <f t="shared" si="73"/>
        <v>5.7075226977950706</v>
      </c>
      <c r="CS197" s="45">
        <f t="shared" si="74"/>
        <v>5.7075226977950706</v>
      </c>
      <c r="CT197" s="72">
        <f t="shared" si="75"/>
        <v>198.45242713302846</v>
      </c>
      <c r="CU197" s="72">
        <f t="shared" si="76"/>
        <v>0</v>
      </c>
      <c r="CV197" s="72">
        <f t="shared" si="77"/>
        <v>0</v>
      </c>
      <c r="CW197" s="72">
        <f t="shared" si="78"/>
        <v>0</v>
      </c>
      <c r="CX197" s="70">
        <f t="shared" si="79"/>
        <v>66283.110662431514</v>
      </c>
    </row>
    <row r="198" spans="80:102">
      <c r="CB198" s="63">
        <v>7</v>
      </c>
      <c r="CC198" s="63">
        <f>data!$K28</f>
        <v>26</v>
      </c>
      <c r="CD198" s="63">
        <f>data!$L28</f>
        <v>342</v>
      </c>
      <c r="CE198" s="70">
        <f t="shared" si="60"/>
        <v>1107.6923076923076</v>
      </c>
      <c r="CF198" s="71">
        <f t="shared" si="61"/>
        <v>0.83311930596039141</v>
      </c>
      <c r="CG198" s="71">
        <f t="shared" si="62"/>
        <v>0.38192335540885691</v>
      </c>
      <c r="CH198" s="71">
        <f t="shared" si="63"/>
        <v>0</v>
      </c>
      <c r="CI198" s="71">
        <f t="shared" si="64"/>
        <v>1</v>
      </c>
      <c r="CJ198" s="72">
        <f t="shared" si="65"/>
        <v>6135.25</v>
      </c>
      <c r="CK198" s="72">
        <f t="shared" si="66"/>
        <v>2900.2999999999997</v>
      </c>
      <c r="CL198" s="72">
        <f t="shared" si="67"/>
        <v>2900.2999999999997</v>
      </c>
      <c r="CM198" s="70">
        <f t="shared" si="68"/>
        <v>378830.76923076919</v>
      </c>
      <c r="CN198" s="72">
        <f t="shared" si="69"/>
        <v>1323.92</v>
      </c>
      <c r="CO198" s="72">
        <f t="shared" si="70"/>
        <v>522.59999999999991</v>
      </c>
      <c r="CP198" s="72">
        <f t="shared" si="71"/>
        <v>522.59999999999991</v>
      </c>
      <c r="CQ198" s="45">
        <f t="shared" si="72"/>
        <v>4.6341546316998006</v>
      </c>
      <c r="CR198" s="45">
        <f t="shared" si="73"/>
        <v>5.5497512437810954</v>
      </c>
      <c r="CS198" s="45">
        <f t="shared" si="74"/>
        <v>5.5497512437810954</v>
      </c>
      <c r="CT198" s="72">
        <f t="shared" si="75"/>
        <v>239.57330493810181</v>
      </c>
      <c r="CU198" s="72">
        <f t="shared" si="76"/>
        <v>0</v>
      </c>
      <c r="CV198" s="72">
        <f t="shared" si="77"/>
        <v>0</v>
      </c>
      <c r="CW198" s="72">
        <f t="shared" si="78"/>
        <v>0</v>
      </c>
      <c r="CX198" s="70">
        <f t="shared" si="79"/>
        <v>81934.070288830815</v>
      </c>
    </row>
    <row r="199" spans="80:102">
      <c r="CB199" s="63">
        <v>8</v>
      </c>
      <c r="CC199" s="63">
        <f>data!$K29</f>
        <v>27</v>
      </c>
      <c r="CD199" s="63">
        <f>data!$L29</f>
        <v>349</v>
      </c>
      <c r="CE199" s="70">
        <f t="shared" si="60"/>
        <v>1292.3076923076924</v>
      </c>
      <c r="CF199" s="71">
        <f t="shared" si="61"/>
        <v>0.85170603092377806</v>
      </c>
      <c r="CG199" s="71">
        <f t="shared" si="62"/>
        <v>0.45076307749547456</v>
      </c>
      <c r="CH199" s="71">
        <f t="shared" si="63"/>
        <v>0</v>
      </c>
      <c r="CI199" s="71">
        <f t="shared" si="64"/>
        <v>1</v>
      </c>
      <c r="CJ199" s="72">
        <f t="shared" si="65"/>
        <v>6064.666666666667</v>
      </c>
      <c r="CK199" s="72">
        <f t="shared" si="66"/>
        <v>2866.9333333333329</v>
      </c>
      <c r="CL199" s="72">
        <f t="shared" si="67"/>
        <v>2866.9333333333329</v>
      </c>
      <c r="CM199" s="70">
        <f t="shared" si="68"/>
        <v>451015.38461538462</v>
      </c>
      <c r="CN199" s="72">
        <f t="shared" si="69"/>
        <v>1345.7066666666667</v>
      </c>
      <c r="CO199" s="72">
        <f t="shared" si="70"/>
        <v>531.19999999999993</v>
      </c>
      <c r="CP199" s="72">
        <f t="shared" si="71"/>
        <v>531.19999999999993</v>
      </c>
      <c r="CQ199" s="45">
        <f t="shared" si="72"/>
        <v>4.5066780279010779</v>
      </c>
      <c r="CR199" s="45">
        <f t="shared" si="73"/>
        <v>5.3970883534136549</v>
      </c>
      <c r="CS199" s="45">
        <f t="shared" si="74"/>
        <v>5.3970883534136549</v>
      </c>
      <c r="CT199" s="72">
        <f t="shared" si="75"/>
        <v>281.13614095920946</v>
      </c>
      <c r="CU199" s="72">
        <f t="shared" si="76"/>
        <v>0</v>
      </c>
      <c r="CV199" s="72">
        <f t="shared" si="77"/>
        <v>0</v>
      </c>
      <c r="CW199" s="72">
        <f t="shared" si="78"/>
        <v>0</v>
      </c>
      <c r="CX199" s="70">
        <f t="shared" si="79"/>
        <v>98116.513194764106</v>
      </c>
    </row>
    <row r="200" spans="80:102">
      <c r="CB200" s="63">
        <v>9</v>
      </c>
      <c r="CC200" s="63">
        <f>data!$K30</f>
        <v>28</v>
      </c>
      <c r="CD200" s="63">
        <f>data!$L30</f>
        <v>354</v>
      </c>
      <c r="CE200" s="70">
        <f t="shared" si="60"/>
        <v>1476.9230769230769</v>
      </c>
      <c r="CF200" s="71">
        <f t="shared" si="61"/>
        <v>0.87073049187804441</v>
      </c>
      <c r="CG200" s="71">
        <f t="shared" si="62"/>
        <v>0.52122404399275712</v>
      </c>
      <c r="CH200" s="71">
        <f t="shared" si="63"/>
        <v>0</v>
      </c>
      <c r="CI200" s="71">
        <f t="shared" si="64"/>
        <v>1</v>
      </c>
      <c r="CJ200" s="72">
        <f t="shared" si="65"/>
        <v>5994.083333333333</v>
      </c>
      <c r="CK200" s="72">
        <f t="shared" si="66"/>
        <v>2833.5666666666666</v>
      </c>
      <c r="CL200" s="72">
        <f t="shared" si="67"/>
        <v>2833.5666666666666</v>
      </c>
      <c r="CM200" s="70">
        <f t="shared" si="68"/>
        <v>522830.76923076925</v>
      </c>
      <c r="CN200" s="72">
        <f t="shared" si="69"/>
        <v>1367.4933333333333</v>
      </c>
      <c r="CO200" s="72">
        <f t="shared" si="70"/>
        <v>539.79999999999995</v>
      </c>
      <c r="CP200" s="72">
        <f t="shared" si="71"/>
        <v>539.79999999999995</v>
      </c>
      <c r="CQ200" s="45">
        <f t="shared" si="72"/>
        <v>4.3832632943975351</v>
      </c>
      <c r="CR200" s="45">
        <f t="shared" si="73"/>
        <v>5.249289860442139</v>
      </c>
      <c r="CS200" s="45">
        <f t="shared" si="74"/>
        <v>5.249289860442139</v>
      </c>
      <c r="CT200" s="72">
        <f t="shared" si="75"/>
        <v>323.1272380739108</v>
      </c>
      <c r="CU200" s="72">
        <f t="shared" si="76"/>
        <v>0</v>
      </c>
      <c r="CV200" s="72">
        <f t="shared" si="77"/>
        <v>0</v>
      </c>
      <c r="CW200" s="72">
        <f t="shared" si="78"/>
        <v>0</v>
      </c>
      <c r="CX200" s="70">
        <f t="shared" si="79"/>
        <v>114387.04227816443</v>
      </c>
    </row>
    <row r="201" spans="80:102">
      <c r="CB201" s="63">
        <v>10</v>
      </c>
      <c r="CC201" s="63">
        <f>data!$K31</f>
        <v>29</v>
      </c>
      <c r="CD201" s="63">
        <f>data!$L31</f>
        <v>356</v>
      </c>
      <c r="CE201" s="70">
        <f t="shared" si="60"/>
        <v>1661.5384615384614</v>
      </c>
      <c r="CF201" s="71">
        <f t="shared" si="61"/>
        <v>0.89020833676715405</v>
      </c>
      <c r="CG201" s="71">
        <f t="shared" si="62"/>
        <v>0.59336421024871855</v>
      </c>
      <c r="CH201" s="71">
        <f t="shared" si="63"/>
        <v>0</v>
      </c>
      <c r="CI201" s="71">
        <f t="shared" si="64"/>
        <v>1</v>
      </c>
      <c r="CJ201" s="72">
        <f t="shared" si="65"/>
        <v>5923.5</v>
      </c>
      <c r="CK201" s="72">
        <f t="shared" si="66"/>
        <v>2800.2</v>
      </c>
      <c r="CL201" s="72">
        <f t="shared" si="67"/>
        <v>2800.2</v>
      </c>
      <c r="CM201" s="70">
        <f t="shared" si="68"/>
        <v>591507.69230769225</v>
      </c>
      <c r="CN201" s="72">
        <f t="shared" si="69"/>
        <v>1389.28</v>
      </c>
      <c r="CO201" s="72">
        <f t="shared" si="70"/>
        <v>548.4</v>
      </c>
      <c r="CP201" s="72">
        <f t="shared" si="71"/>
        <v>548.4</v>
      </c>
      <c r="CQ201" s="45">
        <f t="shared" si="72"/>
        <v>4.2637193366348036</v>
      </c>
      <c r="CR201" s="45">
        <f t="shared" si="73"/>
        <v>5.1061269146608312</v>
      </c>
      <c r="CS201" s="45">
        <f t="shared" si="74"/>
        <v>5.1061269146608312</v>
      </c>
      <c r="CT201" s="72">
        <f t="shared" si="75"/>
        <v>365.53345937211805</v>
      </c>
      <c r="CU201" s="72">
        <f t="shared" si="76"/>
        <v>0</v>
      </c>
      <c r="CV201" s="72">
        <f t="shared" si="77"/>
        <v>0</v>
      </c>
      <c r="CW201" s="72">
        <f t="shared" si="78"/>
        <v>0</v>
      </c>
      <c r="CX201" s="70">
        <f t="shared" si="79"/>
        <v>130129.91153647403</v>
      </c>
    </row>
    <row r="202" spans="80:102">
      <c r="CB202" s="63">
        <v>11</v>
      </c>
      <c r="CC202" s="63">
        <f>data!$K32</f>
        <v>30</v>
      </c>
      <c r="CD202" s="63">
        <f>data!$L32</f>
        <v>355</v>
      </c>
      <c r="CE202" s="70">
        <f t="shared" si="60"/>
        <v>1846.1538461538462</v>
      </c>
      <c r="CF202" s="71">
        <f t="shared" si="61"/>
        <v>0.91015596836149815</v>
      </c>
      <c r="CG202" s="71">
        <f t="shared" si="62"/>
        <v>0.66724432726480809</v>
      </c>
      <c r="CH202" s="71">
        <f t="shared" si="63"/>
        <v>0</v>
      </c>
      <c r="CI202" s="71">
        <f t="shared" si="64"/>
        <v>1</v>
      </c>
      <c r="CJ202" s="72">
        <f t="shared" si="65"/>
        <v>5852.916666666667</v>
      </c>
      <c r="CK202" s="72">
        <f t="shared" si="66"/>
        <v>2766.833333333333</v>
      </c>
      <c r="CL202" s="72">
        <f t="shared" si="67"/>
        <v>2766.833333333333</v>
      </c>
      <c r="CM202" s="70">
        <f t="shared" si="68"/>
        <v>655384.61538461538</v>
      </c>
      <c r="CN202" s="72">
        <f t="shared" si="69"/>
        <v>1411.0666666666666</v>
      </c>
      <c r="CO202" s="72">
        <f t="shared" si="70"/>
        <v>557</v>
      </c>
      <c r="CP202" s="72">
        <f t="shared" si="71"/>
        <v>557</v>
      </c>
      <c r="CQ202" s="45">
        <f t="shared" si="72"/>
        <v>4.1478668619484083</v>
      </c>
      <c r="CR202" s="45">
        <f t="shared" si="73"/>
        <v>4.9673847995212439</v>
      </c>
      <c r="CS202" s="45">
        <f t="shared" si="74"/>
        <v>4.9673847995212439</v>
      </c>
      <c r="CT202" s="72">
        <f t="shared" si="75"/>
        <v>408.34219980512518</v>
      </c>
      <c r="CU202" s="72">
        <f t="shared" si="76"/>
        <v>0</v>
      </c>
      <c r="CV202" s="72">
        <f t="shared" si="77"/>
        <v>0</v>
      </c>
      <c r="CW202" s="72">
        <f t="shared" si="78"/>
        <v>0</v>
      </c>
      <c r="CX202" s="70">
        <f t="shared" si="79"/>
        <v>144961.48093081944</v>
      </c>
    </row>
    <row r="203" spans="80:102">
      <c r="CB203" s="63">
        <v>12</v>
      </c>
      <c r="CC203" s="63">
        <f>data!$K33</f>
        <v>31</v>
      </c>
      <c r="CD203" s="63">
        <f>data!$L33</f>
        <v>351</v>
      </c>
      <c r="CE203" s="70">
        <f t="shared" si="60"/>
        <v>2030.7692307692307</v>
      </c>
      <c r="CF203" s="71">
        <f t="shared" si="61"/>
        <v>0.93059059032767633</v>
      </c>
      <c r="CG203" s="71">
        <f t="shared" si="62"/>
        <v>0.74292811232472711</v>
      </c>
      <c r="CH203" s="71">
        <f t="shared" si="63"/>
        <v>0</v>
      </c>
      <c r="CI203" s="71">
        <f t="shared" si="64"/>
        <v>1</v>
      </c>
      <c r="CJ203" s="72">
        <f t="shared" si="65"/>
        <v>5782.333333333333</v>
      </c>
      <c r="CK203" s="72">
        <f t="shared" si="66"/>
        <v>2733.4666666666667</v>
      </c>
      <c r="CL203" s="72">
        <f t="shared" si="67"/>
        <v>2733.4666666666667</v>
      </c>
      <c r="CM203" s="70">
        <f t="shared" si="68"/>
        <v>712800</v>
      </c>
      <c r="CN203" s="72">
        <f t="shared" si="69"/>
        <v>1432.8533333333332</v>
      </c>
      <c r="CO203" s="72">
        <f t="shared" si="70"/>
        <v>565.6</v>
      </c>
      <c r="CP203" s="72">
        <f t="shared" si="71"/>
        <v>565.6</v>
      </c>
      <c r="CQ203" s="45">
        <f t="shared" si="72"/>
        <v>4.0355374823196604</v>
      </c>
      <c r="CR203" s="45">
        <f t="shared" si="73"/>
        <v>4.8328618576143327</v>
      </c>
      <c r="CS203" s="45">
        <f t="shared" si="74"/>
        <v>4.8328618576143327</v>
      </c>
      <c r="CT203" s="72">
        <f t="shared" si="75"/>
        <v>451.54135953911407</v>
      </c>
      <c r="CU203" s="72">
        <f t="shared" si="76"/>
        <v>0</v>
      </c>
      <c r="CV203" s="72">
        <f t="shared" si="77"/>
        <v>0</v>
      </c>
      <c r="CW203" s="72">
        <f t="shared" si="78"/>
        <v>0</v>
      </c>
      <c r="CX203" s="70">
        <f t="shared" si="79"/>
        <v>158491.01719822903</v>
      </c>
    </row>
    <row r="204" spans="80:102">
      <c r="CB204" s="63">
        <v>13</v>
      </c>
      <c r="CC204" s="63">
        <f>data!$K34</f>
        <v>32</v>
      </c>
      <c r="CD204" s="63">
        <f>data!$L34</f>
        <v>344</v>
      </c>
      <c r="CE204" s="70">
        <f t="shared" si="60"/>
        <v>2215.3846153846152</v>
      </c>
      <c r="CF204" s="71">
        <f t="shared" si="61"/>
        <v>0.95153025671413882</v>
      </c>
      <c r="CG204" s="71">
        <f t="shared" si="62"/>
        <v>0.82048243227458806</v>
      </c>
      <c r="CH204" s="71">
        <f t="shared" si="63"/>
        <v>0</v>
      </c>
      <c r="CI204" s="71">
        <f t="shared" si="64"/>
        <v>1</v>
      </c>
      <c r="CJ204" s="72">
        <f t="shared" si="65"/>
        <v>5711.75</v>
      </c>
      <c r="CK204" s="72">
        <f t="shared" si="66"/>
        <v>2700.1</v>
      </c>
      <c r="CL204" s="72">
        <f t="shared" si="67"/>
        <v>2700.1</v>
      </c>
      <c r="CM204" s="70">
        <f t="shared" si="68"/>
        <v>762092.30769230763</v>
      </c>
      <c r="CN204" s="72">
        <f t="shared" si="69"/>
        <v>1454.6399999999999</v>
      </c>
      <c r="CO204" s="72">
        <f t="shared" si="70"/>
        <v>574.20000000000005</v>
      </c>
      <c r="CP204" s="72">
        <f t="shared" si="71"/>
        <v>574.20000000000005</v>
      </c>
      <c r="CQ204" s="45">
        <f t="shared" si="72"/>
        <v>3.9265728977616456</v>
      </c>
      <c r="CR204" s="45">
        <f t="shared" si="73"/>
        <v>4.7023685127133401</v>
      </c>
      <c r="CS204" s="45">
        <f t="shared" si="74"/>
        <v>4.7023685127133401</v>
      </c>
      <c r="CT204" s="72">
        <f t="shared" si="75"/>
        <v>495.11931889476836</v>
      </c>
      <c r="CU204" s="72">
        <f t="shared" si="76"/>
        <v>0</v>
      </c>
      <c r="CV204" s="72">
        <f t="shared" si="77"/>
        <v>0</v>
      </c>
      <c r="CW204" s="72">
        <f t="shared" si="78"/>
        <v>0</v>
      </c>
      <c r="CX204" s="70">
        <f t="shared" si="79"/>
        <v>170321.04569980031</v>
      </c>
    </row>
    <row r="205" spans="80:102">
      <c r="CB205" s="63">
        <v>14</v>
      </c>
      <c r="CC205" s="63">
        <f>data!$K35</f>
        <v>33</v>
      </c>
      <c r="CD205" s="63">
        <f>data!$L35</f>
        <v>332</v>
      </c>
      <c r="CE205" s="70">
        <f t="shared" si="60"/>
        <v>2400</v>
      </c>
      <c r="CF205" s="71">
        <f t="shared" si="61"/>
        <v>0.97299392515187122</v>
      </c>
      <c r="CG205" s="71">
        <f t="shared" si="62"/>
        <v>0.89997750056248604</v>
      </c>
      <c r="CH205" s="71">
        <f t="shared" si="63"/>
        <v>0</v>
      </c>
      <c r="CI205" s="71">
        <f t="shared" si="64"/>
        <v>1</v>
      </c>
      <c r="CJ205" s="72">
        <f t="shared" si="65"/>
        <v>5641.166666666667</v>
      </c>
      <c r="CK205" s="72">
        <f t="shared" si="66"/>
        <v>2666.7333333333331</v>
      </c>
      <c r="CL205" s="72">
        <f t="shared" si="67"/>
        <v>2666.7333333333331</v>
      </c>
      <c r="CM205" s="70">
        <f t="shared" si="68"/>
        <v>796800</v>
      </c>
      <c r="CN205" s="72">
        <f t="shared" si="69"/>
        <v>1476.4266666666667</v>
      </c>
      <c r="CO205" s="72">
        <f t="shared" si="70"/>
        <v>582.79999999999995</v>
      </c>
      <c r="CP205" s="72">
        <f t="shared" si="71"/>
        <v>582.79999999999995</v>
      </c>
      <c r="CQ205" s="45">
        <f t="shared" si="72"/>
        <v>3.8208241520066468</v>
      </c>
      <c r="CR205" s="45">
        <f t="shared" si="73"/>
        <v>4.575726378403111</v>
      </c>
      <c r="CS205" s="45">
        <f t="shared" si="74"/>
        <v>4.575726378403111</v>
      </c>
      <c r="CT205" s="72">
        <f t="shared" si="75"/>
        <v>539.06491476393171</v>
      </c>
      <c r="CU205" s="72">
        <f t="shared" si="76"/>
        <v>0</v>
      </c>
      <c r="CV205" s="72">
        <f t="shared" si="77"/>
        <v>0</v>
      </c>
      <c r="CW205" s="72">
        <f t="shared" si="78"/>
        <v>0</v>
      </c>
      <c r="CX205" s="70">
        <f t="shared" si="79"/>
        <v>178969.55170162531</v>
      </c>
    </row>
    <row r="206" spans="80:102">
      <c r="CB206" s="63">
        <v>15</v>
      </c>
      <c r="CC206" s="63">
        <f>data!$K36</f>
        <v>34</v>
      </c>
      <c r="CD206" s="63">
        <f>data!$L36</f>
        <v>317</v>
      </c>
      <c r="CE206" s="70">
        <f t="shared" si="60"/>
        <v>2584.6153846153848</v>
      </c>
      <c r="CF206" s="71">
        <f t="shared" si="61"/>
        <v>0.99500151409962678</v>
      </c>
      <c r="CG206" s="71">
        <f t="shared" si="62"/>
        <v>0.98148708925787698</v>
      </c>
      <c r="CH206" s="71">
        <f t="shared" si="63"/>
        <v>0</v>
      </c>
      <c r="CI206" s="71">
        <f t="shared" si="64"/>
        <v>1</v>
      </c>
      <c r="CJ206" s="72">
        <f t="shared" si="65"/>
        <v>5570.583333333333</v>
      </c>
      <c r="CK206" s="72">
        <f t="shared" si="66"/>
        <v>2633.3666666666668</v>
      </c>
      <c r="CL206" s="72">
        <f t="shared" si="67"/>
        <v>2633.3666666666668</v>
      </c>
      <c r="CM206" s="70">
        <f t="shared" si="68"/>
        <v>819323.07692307699</v>
      </c>
      <c r="CN206" s="72">
        <f t="shared" si="69"/>
        <v>1498.2133333333334</v>
      </c>
      <c r="CO206" s="72">
        <f t="shared" si="70"/>
        <v>591.4</v>
      </c>
      <c r="CP206" s="72">
        <f t="shared" si="71"/>
        <v>591.4</v>
      </c>
      <c r="CQ206" s="45">
        <f t="shared" si="72"/>
        <v>3.7181509531352899</v>
      </c>
      <c r="CR206" s="45">
        <f t="shared" si="73"/>
        <v>4.4527674444820207</v>
      </c>
      <c r="CS206" s="45">
        <f t="shared" si="74"/>
        <v>4.4527674444820207</v>
      </c>
      <c r="CT206" s="72">
        <f t="shared" si="75"/>
        <v>583.36741840273157</v>
      </c>
      <c r="CU206" s="72">
        <f t="shared" si="76"/>
        <v>0</v>
      </c>
      <c r="CV206" s="72">
        <f t="shared" si="77"/>
        <v>0</v>
      </c>
      <c r="CW206" s="72">
        <f t="shared" si="78"/>
        <v>0</v>
      </c>
      <c r="CX206" s="70">
        <f t="shared" si="79"/>
        <v>184927.4716336659</v>
      </c>
    </row>
    <row r="207" spans="80:102">
      <c r="CB207" s="63">
        <v>16</v>
      </c>
      <c r="CC207" s="63">
        <f>data!$K37</f>
        <v>35</v>
      </c>
      <c r="CD207" s="63">
        <f>data!$L37</f>
        <v>299</v>
      </c>
      <c r="CE207" s="70">
        <f t="shared" si="60"/>
        <v>2769.2307692307691</v>
      </c>
      <c r="CF207" s="71">
        <f t="shared" si="61"/>
        <v>1</v>
      </c>
      <c r="CG207" s="71">
        <f t="shared" si="62"/>
        <v>1</v>
      </c>
      <c r="CH207" s="71">
        <f t="shared" si="63"/>
        <v>0</v>
      </c>
      <c r="CI207" s="71">
        <f t="shared" si="64"/>
        <v>0.94164456233421756</v>
      </c>
      <c r="CJ207" s="72">
        <f t="shared" si="65"/>
        <v>5500</v>
      </c>
      <c r="CK207" s="72">
        <f t="shared" si="66"/>
        <v>2600</v>
      </c>
      <c r="CL207" s="72">
        <f t="shared" si="67"/>
        <v>2600</v>
      </c>
      <c r="CM207" s="70">
        <f t="shared" si="68"/>
        <v>828000</v>
      </c>
      <c r="CN207" s="72">
        <f t="shared" si="69"/>
        <v>1520</v>
      </c>
      <c r="CO207" s="72">
        <f t="shared" si="70"/>
        <v>600</v>
      </c>
      <c r="CP207" s="72">
        <f t="shared" si="71"/>
        <v>600</v>
      </c>
      <c r="CQ207" s="45">
        <f t="shared" si="72"/>
        <v>3.6184210526315788</v>
      </c>
      <c r="CR207" s="45">
        <f t="shared" si="73"/>
        <v>4.333333333333333</v>
      </c>
      <c r="CS207" s="45">
        <f t="shared" si="74"/>
        <v>4.333333333333333</v>
      </c>
      <c r="CT207" s="72">
        <f t="shared" si="75"/>
        <v>0</v>
      </c>
      <c r="CU207" s="72">
        <f t="shared" si="76"/>
        <v>0</v>
      </c>
      <c r="CV207" s="72">
        <f t="shared" si="77"/>
        <v>653.68700265251982</v>
      </c>
      <c r="CW207" s="72">
        <f t="shared" si="78"/>
        <v>0</v>
      </c>
      <c r="CX207" s="70">
        <f t="shared" si="79"/>
        <v>195452.41379310342</v>
      </c>
    </row>
    <row r="208" spans="80:102">
      <c r="CB208" s="63">
        <v>17</v>
      </c>
      <c r="CC208" s="63">
        <f>data!$K38</f>
        <v>36</v>
      </c>
      <c r="CD208" s="63">
        <f>data!$L38</f>
        <v>277</v>
      </c>
      <c r="CE208" s="70">
        <f t="shared" si="60"/>
        <v>2953.8461538461538</v>
      </c>
      <c r="CF208" s="71">
        <f t="shared" si="61"/>
        <v>1</v>
      </c>
      <c r="CG208" s="71">
        <f t="shared" si="62"/>
        <v>1</v>
      </c>
      <c r="CH208" s="71">
        <f t="shared" si="63"/>
        <v>0</v>
      </c>
      <c r="CI208" s="71">
        <f t="shared" si="64"/>
        <v>0.86508183674175576</v>
      </c>
      <c r="CJ208" s="72">
        <f t="shared" si="65"/>
        <v>5436.363636363636</v>
      </c>
      <c r="CK208" s="72">
        <f t="shared" si="66"/>
        <v>2566.6727272727271</v>
      </c>
      <c r="CL208" s="72">
        <f t="shared" si="67"/>
        <v>2566.6727272727271</v>
      </c>
      <c r="CM208" s="70">
        <f t="shared" si="68"/>
        <v>818215.38461538462</v>
      </c>
      <c r="CN208" s="72">
        <f t="shared" si="69"/>
        <v>1550</v>
      </c>
      <c r="CO208" s="72">
        <f t="shared" si="70"/>
        <v>613.63636363636363</v>
      </c>
      <c r="CP208" s="72">
        <f t="shared" si="71"/>
        <v>613.63636363636363</v>
      </c>
      <c r="CQ208" s="45">
        <f t="shared" si="72"/>
        <v>3.5073313782991202</v>
      </c>
      <c r="CR208" s="45">
        <f t="shared" si="73"/>
        <v>4.1827259259259257</v>
      </c>
      <c r="CS208" s="45">
        <f t="shared" si="74"/>
        <v>4.1827259259259257</v>
      </c>
      <c r="CT208" s="72">
        <f t="shared" si="75"/>
        <v>0</v>
      </c>
      <c r="CU208" s="72">
        <f t="shared" si="76"/>
        <v>0</v>
      </c>
      <c r="CV208" s="72">
        <f t="shared" si="77"/>
        <v>739.96882559635594</v>
      </c>
      <c r="CW208" s="72">
        <f t="shared" si="78"/>
        <v>0</v>
      </c>
      <c r="CX208" s="70">
        <f t="shared" si="79"/>
        <v>204971.36469019059</v>
      </c>
    </row>
    <row r="209" spans="80:102">
      <c r="CB209" s="63">
        <v>18</v>
      </c>
      <c r="CC209" s="63">
        <f>data!$K39</f>
        <v>37</v>
      </c>
      <c r="CD209" s="63">
        <f>data!$L39</f>
        <v>252</v>
      </c>
      <c r="CE209" s="70">
        <f t="shared" si="60"/>
        <v>3138.4615384615386</v>
      </c>
      <c r="CF209" s="71">
        <f t="shared" si="61"/>
        <v>1</v>
      </c>
      <c r="CG209" s="71">
        <f t="shared" si="62"/>
        <v>1</v>
      </c>
      <c r="CH209" s="71">
        <f t="shared" si="63"/>
        <v>0</v>
      </c>
      <c r="CI209" s="71">
        <f t="shared" si="64"/>
        <v>0.78688456760508296</v>
      </c>
      <c r="CJ209" s="72">
        <f t="shared" si="65"/>
        <v>5372.727272727273</v>
      </c>
      <c r="CK209" s="72">
        <f t="shared" si="66"/>
        <v>2533.3454545454547</v>
      </c>
      <c r="CL209" s="72">
        <f t="shared" si="67"/>
        <v>2533.3454545454547</v>
      </c>
      <c r="CM209" s="70">
        <f t="shared" si="68"/>
        <v>790892.30769230775</v>
      </c>
      <c r="CN209" s="72">
        <f t="shared" si="69"/>
        <v>1580</v>
      </c>
      <c r="CO209" s="72">
        <f t="shared" si="70"/>
        <v>627.27272727272725</v>
      </c>
      <c r="CP209" s="72">
        <f t="shared" si="71"/>
        <v>627.27272727272725</v>
      </c>
      <c r="CQ209" s="45">
        <f t="shared" si="72"/>
        <v>3.4004602991944766</v>
      </c>
      <c r="CR209" s="45">
        <f t="shared" si="73"/>
        <v>4.0386666666666668</v>
      </c>
      <c r="CS209" s="45">
        <f t="shared" si="74"/>
        <v>4.0386666666666668</v>
      </c>
      <c r="CT209" s="72">
        <f t="shared" si="75"/>
        <v>0</v>
      </c>
      <c r="CU209" s="72">
        <f t="shared" si="76"/>
        <v>0</v>
      </c>
      <c r="CV209" s="72">
        <f t="shared" si="77"/>
        <v>830.31361195443003</v>
      </c>
      <c r="CW209" s="72">
        <f t="shared" si="78"/>
        <v>0</v>
      </c>
      <c r="CX209" s="70">
        <f t="shared" si="79"/>
        <v>209239.03021251637</v>
      </c>
    </row>
    <row r="210" spans="80:102">
      <c r="CB210" s="63">
        <v>19</v>
      </c>
      <c r="CC210" s="63">
        <f>data!$K40</f>
        <v>38</v>
      </c>
      <c r="CD210" s="63">
        <f>data!$L40</f>
        <v>225</v>
      </c>
      <c r="CE210" s="70">
        <f t="shared" si="60"/>
        <v>3323.0769230769229</v>
      </c>
      <c r="CF210" s="71">
        <f t="shared" si="61"/>
        <v>1</v>
      </c>
      <c r="CG210" s="71">
        <f t="shared" si="62"/>
        <v>1</v>
      </c>
      <c r="CH210" s="71">
        <f t="shared" si="63"/>
        <v>0</v>
      </c>
      <c r="CI210" s="71">
        <f t="shared" si="64"/>
        <v>0.70699984615285039</v>
      </c>
      <c r="CJ210" s="72">
        <f t="shared" si="65"/>
        <v>5309.090909090909</v>
      </c>
      <c r="CK210" s="72">
        <f t="shared" si="66"/>
        <v>2500.0181818181818</v>
      </c>
      <c r="CL210" s="72">
        <f t="shared" si="67"/>
        <v>2500.0181818181818</v>
      </c>
      <c r="CM210" s="70">
        <f t="shared" si="68"/>
        <v>747692.30769230763</v>
      </c>
      <c r="CN210" s="72">
        <f t="shared" si="69"/>
        <v>1610</v>
      </c>
      <c r="CO210" s="72">
        <f t="shared" si="70"/>
        <v>640.90909090909088</v>
      </c>
      <c r="CP210" s="72">
        <f t="shared" si="71"/>
        <v>640.90909090909088</v>
      </c>
      <c r="CQ210" s="45">
        <f t="shared" si="72"/>
        <v>3.2975719932241669</v>
      </c>
      <c r="CR210" s="45">
        <f t="shared" si="73"/>
        <v>3.9007375886524822</v>
      </c>
      <c r="CS210" s="45">
        <f t="shared" si="74"/>
        <v>3.9007375886524822</v>
      </c>
      <c r="CT210" s="72">
        <f t="shared" si="75"/>
        <v>0</v>
      </c>
      <c r="CU210" s="72">
        <f t="shared" si="76"/>
        <v>0</v>
      </c>
      <c r="CV210" s="72">
        <f t="shared" si="77"/>
        <v>924.85287636460134</v>
      </c>
      <c r="CW210" s="72">
        <f t="shared" si="78"/>
        <v>0</v>
      </c>
      <c r="CX210" s="70">
        <f t="shared" si="79"/>
        <v>208091.89718203529</v>
      </c>
    </row>
    <row r="211" spans="80:102">
      <c r="CB211" s="63">
        <v>20</v>
      </c>
      <c r="CC211" s="63">
        <f>data!$K41</f>
        <v>39</v>
      </c>
      <c r="CD211" s="63">
        <f>data!$L41</f>
        <v>195</v>
      </c>
      <c r="CE211" s="70">
        <f t="shared" si="60"/>
        <v>3507.6923076923076</v>
      </c>
      <c r="CF211" s="71">
        <f t="shared" si="61"/>
        <v>1</v>
      </c>
      <c r="CG211" s="71">
        <f t="shared" si="62"/>
        <v>1</v>
      </c>
      <c r="CH211" s="71">
        <f t="shared" si="63"/>
        <v>0</v>
      </c>
      <c r="CI211" s="71">
        <f t="shared" si="64"/>
        <v>0.62537245522484219</v>
      </c>
      <c r="CJ211" s="72">
        <f t="shared" si="65"/>
        <v>5245.454545454545</v>
      </c>
      <c r="CK211" s="72">
        <f t="shared" si="66"/>
        <v>2466.6909090909094</v>
      </c>
      <c r="CL211" s="72">
        <f t="shared" si="67"/>
        <v>2466.6909090909094</v>
      </c>
      <c r="CM211" s="70">
        <f t="shared" si="68"/>
        <v>684000</v>
      </c>
      <c r="CN211" s="72">
        <f t="shared" si="69"/>
        <v>1640</v>
      </c>
      <c r="CO211" s="72">
        <f t="shared" si="70"/>
        <v>654.5454545454545</v>
      </c>
      <c r="CP211" s="72">
        <f t="shared" si="71"/>
        <v>654.5454545454545</v>
      </c>
      <c r="CQ211" s="45">
        <f t="shared" si="72"/>
        <v>3.1984478935698446</v>
      </c>
      <c r="CR211" s="45">
        <f t="shared" si="73"/>
        <v>3.7685555555555563</v>
      </c>
      <c r="CS211" s="45">
        <f t="shared" si="74"/>
        <v>3.7685555555555563</v>
      </c>
      <c r="CT211" s="72">
        <f t="shared" si="75"/>
        <v>0</v>
      </c>
      <c r="CU211" s="72">
        <f t="shared" si="76"/>
        <v>0</v>
      </c>
      <c r="CV211" s="72">
        <f t="shared" si="77"/>
        <v>1023.72387139661</v>
      </c>
      <c r="CW211" s="72">
        <f t="shared" si="78"/>
        <v>0</v>
      </c>
      <c r="CX211" s="70">
        <f t="shared" si="79"/>
        <v>199626.15492233896</v>
      </c>
    </row>
    <row r="212" spans="80:102">
      <c r="CB212" s="63">
        <v>21</v>
      </c>
      <c r="CC212" s="63">
        <f>data!$K42</f>
        <v>40</v>
      </c>
      <c r="CD212" s="63">
        <f>data!$L42</f>
        <v>165</v>
      </c>
      <c r="CE212" s="70">
        <f t="shared" si="60"/>
        <v>3692.3076923076924</v>
      </c>
      <c r="CF212" s="71">
        <f t="shared" si="61"/>
        <v>1</v>
      </c>
      <c r="CG212" s="71">
        <f t="shared" si="62"/>
        <v>1</v>
      </c>
      <c r="CH212" s="71">
        <f t="shared" si="63"/>
        <v>0</v>
      </c>
      <c r="CI212" s="71">
        <f t="shared" si="64"/>
        <v>0.54194474199104903</v>
      </c>
      <c r="CJ212" s="72">
        <f t="shared" si="65"/>
        <v>5181.818181818182</v>
      </c>
      <c r="CK212" s="72">
        <f t="shared" si="66"/>
        <v>2433.3636363636365</v>
      </c>
      <c r="CL212" s="72">
        <f t="shared" si="67"/>
        <v>2433.3636363636365</v>
      </c>
      <c r="CM212" s="70">
        <f t="shared" si="68"/>
        <v>609230.76923076925</v>
      </c>
      <c r="CN212" s="72">
        <f t="shared" si="69"/>
        <v>1670</v>
      </c>
      <c r="CO212" s="72">
        <f t="shared" si="70"/>
        <v>668.18181818181824</v>
      </c>
      <c r="CP212" s="72">
        <f t="shared" si="71"/>
        <v>668.18181818181824</v>
      </c>
      <c r="CQ212" s="45">
        <f t="shared" si="72"/>
        <v>3.1028851388132828</v>
      </c>
      <c r="CR212" s="45">
        <f t="shared" si="73"/>
        <v>3.641768707482993</v>
      </c>
      <c r="CS212" s="45">
        <f t="shared" si="74"/>
        <v>3.641768707482993</v>
      </c>
      <c r="CT212" s="72">
        <f t="shared" si="75"/>
        <v>0</v>
      </c>
      <c r="CU212" s="72">
        <f t="shared" si="76"/>
        <v>0</v>
      </c>
      <c r="CV212" s="72">
        <f t="shared" si="77"/>
        <v>1127.0699039326037</v>
      </c>
      <c r="CW212" s="72">
        <f t="shared" si="78"/>
        <v>0</v>
      </c>
      <c r="CX212" s="70">
        <f t="shared" si="79"/>
        <v>185966.53414887961</v>
      </c>
    </row>
    <row r="213" spans="80:102">
      <c r="CB213" s="63">
        <v>22</v>
      </c>
      <c r="CC213" s="63">
        <f>data!$K43</f>
        <v>41</v>
      </c>
      <c r="CD213" s="63">
        <f>data!$L43</f>
        <v>133</v>
      </c>
      <c r="CE213" s="70">
        <f t="shared" si="60"/>
        <v>3876.9230769230771</v>
      </c>
      <c r="CF213" s="71">
        <f t="shared" si="61"/>
        <v>1</v>
      </c>
      <c r="CG213" s="71">
        <f t="shared" si="62"/>
        <v>1</v>
      </c>
      <c r="CH213" s="71">
        <f t="shared" si="63"/>
        <v>0</v>
      </c>
      <c r="CI213" s="71">
        <f t="shared" si="64"/>
        <v>0.45665648215515092</v>
      </c>
      <c r="CJ213" s="72">
        <f t="shared" si="65"/>
        <v>5118.181818181818</v>
      </c>
      <c r="CK213" s="72">
        <f t="shared" si="66"/>
        <v>2400.0363636363636</v>
      </c>
      <c r="CL213" s="72">
        <f t="shared" si="67"/>
        <v>2400.0363636363636</v>
      </c>
      <c r="CM213" s="70">
        <f t="shared" si="68"/>
        <v>515630.76923076925</v>
      </c>
      <c r="CN213" s="72">
        <f t="shared" si="69"/>
        <v>1700</v>
      </c>
      <c r="CO213" s="72">
        <f t="shared" si="70"/>
        <v>681.81818181818176</v>
      </c>
      <c r="CP213" s="72">
        <f t="shared" si="71"/>
        <v>681.81818181818176</v>
      </c>
      <c r="CQ213" s="45">
        <f t="shared" si="72"/>
        <v>3.0106951871657754</v>
      </c>
      <c r="CR213" s="45">
        <f t="shared" si="73"/>
        <v>3.5200533333333337</v>
      </c>
      <c r="CS213" s="45">
        <f t="shared" si="74"/>
        <v>3.5200533333333337</v>
      </c>
      <c r="CT213" s="72">
        <f t="shared" si="75"/>
        <v>0</v>
      </c>
      <c r="CU213" s="72">
        <f t="shared" si="76"/>
        <v>0</v>
      </c>
      <c r="CV213" s="72">
        <f t="shared" si="77"/>
        <v>1235.0406727147556</v>
      </c>
      <c r="CW213" s="72">
        <f t="shared" si="78"/>
        <v>0</v>
      </c>
      <c r="CX213" s="70">
        <f t="shared" si="79"/>
        <v>164260.40947106251</v>
      </c>
    </row>
    <row r="214" spans="80:102">
      <c r="CB214" s="63">
        <v>23</v>
      </c>
      <c r="CC214" s="63">
        <f>data!$K44</f>
        <v>42</v>
      </c>
      <c r="CD214" s="63">
        <f>data!$L44</f>
        <v>103</v>
      </c>
      <c r="CE214" s="70">
        <f t="shared" si="60"/>
        <v>4061.5384615384614</v>
      </c>
      <c r="CF214" s="71">
        <f t="shared" si="61"/>
        <v>1</v>
      </c>
      <c r="CG214" s="71">
        <f t="shared" si="62"/>
        <v>1</v>
      </c>
      <c r="CH214" s="71">
        <f t="shared" si="63"/>
        <v>0</v>
      </c>
      <c r="CI214" s="71">
        <f t="shared" si="64"/>
        <v>0.36944473497023383</v>
      </c>
      <c r="CJ214" s="72">
        <f t="shared" si="65"/>
        <v>5054.545454545455</v>
      </c>
      <c r="CK214" s="72">
        <f t="shared" si="66"/>
        <v>2366.7090909090912</v>
      </c>
      <c r="CL214" s="72">
        <f t="shared" si="67"/>
        <v>2366.7090909090912</v>
      </c>
      <c r="CM214" s="70">
        <f t="shared" si="68"/>
        <v>418338.4615384615</v>
      </c>
      <c r="CN214" s="72">
        <f t="shared" si="69"/>
        <v>1730</v>
      </c>
      <c r="CO214" s="72">
        <f t="shared" si="70"/>
        <v>695.4545454545455</v>
      </c>
      <c r="CP214" s="72">
        <f t="shared" si="71"/>
        <v>695.4545454545455</v>
      </c>
      <c r="CQ214" s="45">
        <f t="shared" si="72"/>
        <v>2.921702574881766</v>
      </c>
      <c r="CR214" s="45">
        <f t="shared" si="73"/>
        <v>3.4031111111111114</v>
      </c>
      <c r="CS214" s="45">
        <f t="shared" si="74"/>
        <v>3.4031111111111114</v>
      </c>
      <c r="CT214" s="72">
        <f t="shared" si="75"/>
        <v>0</v>
      </c>
      <c r="CU214" s="72">
        <f t="shared" si="76"/>
        <v>0</v>
      </c>
      <c r="CV214" s="72">
        <f t="shared" si="77"/>
        <v>1347.7926287307944</v>
      </c>
      <c r="CW214" s="72">
        <f t="shared" si="78"/>
        <v>0</v>
      </c>
      <c r="CX214" s="70">
        <f t="shared" si="79"/>
        <v>138822.64075927183</v>
      </c>
    </row>
    <row r="215" spans="80:102">
      <c r="CB215" s="63">
        <v>24</v>
      </c>
      <c r="CC215" s="63">
        <f>data!$K45</f>
        <v>43</v>
      </c>
      <c r="CD215" s="63">
        <f>data!$L45</f>
        <v>73</v>
      </c>
      <c r="CE215" s="70">
        <f t="shared" si="60"/>
        <v>4246.1538461538457</v>
      </c>
      <c r="CF215" s="71">
        <f t="shared" si="61"/>
        <v>1</v>
      </c>
      <c r="CG215" s="71">
        <f t="shared" si="62"/>
        <v>1</v>
      </c>
      <c r="CH215" s="71">
        <f t="shared" si="63"/>
        <v>0</v>
      </c>
      <c r="CI215" s="71">
        <f t="shared" si="64"/>
        <v>0.28024368833323177</v>
      </c>
      <c r="CJ215" s="72">
        <f t="shared" si="65"/>
        <v>4990.909090909091</v>
      </c>
      <c r="CK215" s="72">
        <f t="shared" si="66"/>
        <v>2333.3818181818183</v>
      </c>
      <c r="CL215" s="72">
        <f t="shared" si="67"/>
        <v>2333.3818181818183</v>
      </c>
      <c r="CM215" s="70">
        <f t="shared" si="68"/>
        <v>309969.23076923075</v>
      </c>
      <c r="CN215" s="72">
        <f t="shared" si="69"/>
        <v>1760</v>
      </c>
      <c r="CO215" s="72">
        <f t="shared" si="70"/>
        <v>709.09090909090912</v>
      </c>
      <c r="CP215" s="72">
        <f t="shared" si="71"/>
        <v>709.09090909090912</v>
      </c>
      <c r="CQ215" s="45">
        <f t="shared" si="72"/>
        <v>2.8357438016528924</v>
      </c>
      <c r="CR215" s="45">
        <f t="shared" si="73"/>
        <v>3.2906666666666666</v>
      </c>
      <c r="CS215" s="45">
        <f t="shared" si="74"/>
        <v>3.2906666666666666</v>
      </c>
      <c r="CT215" s="72">
        <f t="shared" si="75"/>
        <v>0</v>
      </c>
      <c r="CU215" s="72">
        <f t="shared" si="76"/>
        <v>0</v>
      </c>
      <c r="CV215" s="72">
        <f t="shared" si="77"/>
        <v>1465.4893602607126</v>
      </c>
      <c r="CW215" s="72">
        <f t="shared" si="78"/>
        <v>0</v>
      </c>
      <c r="CX215" s="70">
        <f t="shared" si="79"/>
        <v>106980.72329903202</v>
      </c>
    </row>
    <row r="216" spans="80:102">
      <c r="CB216" s="63">
        <v>25</v>
      </c>
      <c r="CC216" s="63">
        <f>data!$K46</f>
        <v>44</v>
      </c>
      <c r="CD216" s="63">
        <f>data!$L46</f>
        <v>47</v>
      </c>
      <c r="CE216" s="70">
        <f t="shared" si="60"/>
        <v>4430.7692307692305</v>
      </c>
      <c r="CF216" s="71">
        <f t="shared" si="61"/>
        <v>1</v>
      </c>
      <c r="CG216" s="71">
        <f t="shared" si="62"/>
        <v>1</v>
      </c>
      <c r="CH216" s="71">
        <f t="shared" si="63"/>
        <v>0</v>
      </c>
      <c r="CI216" s="71">
        <f t="shared" si="64"/>
        <v>0.18898449315689814</v>
      </c>
      <c r="CJ216" s="72">
        <f t="shared" si="65"/>
        <v>4927.272727272727</v>
      </c>
      <c r="CK216" s="72">
        <f t="shared" si="66"/>
        <v>2300.0545454545454</v>
      </c>
      <c r="CL216" s="72">
        <f t="shared" si="67"/>
        <v>2300.0545454545454</v>
      </c>
      <c r="CM216" s="70">
        <f t="shared" si="68"/>
        <v>208246.15384615384</v>
      </c>
      <c r="CN216" s="72">
        <f t="shared" si="69"/>
        <v>1790</v>
      </c>
      <c r="CO216" s="72">
        <f t="shared" si="70"/>
        <v>722.72727272727275</v>
      </c>
      <c r="CP216" s="72">
        <f t="shared" si="71"/>
        <v>722.72727272727275</v>
      </c>
      <c r="CQ216" s="45">
        <f t="shared" si="72"/>
        <v>2.7526663280853225</v>
      </c>
      <c r="CR216" s="45">
        <f t="shared" si="73"/>
        <v>3.1824654088050313</v>
      </c>
      <c r="CS216" s="45">
        <f t="shared" si="74"/>
        <v>3.1824654088050313</v>
      </c>
      <c r="CT216" s="72">
        <f t="shared" si="75"/>
        <v>0</v>
      </c>
      <c r="CU216" s="72">
        <f t="shared" si="76"/>
        <v>0</v>
      </c>
      <c r="CV216" s="72">
        <f t="shared" si="77"/>
        <v>1588.3020045761832</v>
      </c>
      <c r="CW216" s="72">
        <f t="shared" si="78"/>
        <v>0</v>
      </c>
      <c r="CX216" s="70">
        <f t="shared" si="79"/>
        <v>74650.194215080614</v>
      </c>
    </row>
    <row r="217" spans="80:102">
      <c r="CB217" s="63">
        <v>26</v>
      </c>
      <c r="CC217" s="63">
        <f>data!$K47</f>
        <v>45</v>
      </c>
      <c r="CD217" s="63">
        <f>data!$L47</f>
        <v>24</v>
      </c>
      <c r="CE217" s="70">
        <f t="shared" si="60"/>
        <v>4615.3846153846152</v>
      </c>
      <c r="CF217" s="71">
        <f t="shared" si="61"/>
        <v>1</v>
      </c>
      <c r="CG217" s="71">
        <f t="shared" si="62"/>
        <v>1</v>
      </c>
      <c r="CH217" s="71">
        <f t="shared" si="63"/>
        <v>0</v>
      </c>
      <c r="CI217" s="71">
        <f t="shared" si="64"/>
        <v>9.5595086143290486E-2</v>
      </c>
      <c r="CJ217" s="72">
        <f t="shared" si="65"/>
        <v>4863.636363636364</v>
      </c>
      <c r="CK217" s="72">
        <f t="shared" si="66"/>
        <v>2266.727272727273</v>
      </c>
      <c r="CL217" s="72">
        <f t="shared" si="67"/>
        <v>2266.727272727273</v>
      </c>
      <c r="CM217" s="70">
        <f t="shared" si="68"/>
        <v>110769.23076923077</v>
      </c>
      <c r="CN217" s="72">
        <f t="shared" si="69"/>
        <v>1820</v>
      </c>
      <c r="CO217" s="72">
        <f t="shared" si="70"/>
        <v>736.36363636363637</v>
      </c>
      <c r="CP217" s="72">
        <f t="shared" si="71"/>
        <v>736.36363636363637</v>
      </c>
      <c r="CQ217" s="45">
        <f t="shared" si="72"/>
        <v>2.6723276723276723</v>
      </c>
      <c r="CR217" s="45">
        <f t="shared" si="73"/>
        <v>3.0782716049382719</v>
      </c>
      <c r="CS217" s="45">
        <f t="shared" si="74"/>
        <v>3.0782716049382719</v>
      </c>
      <c r="CT217" s="72">
        <f t="shared" si="75"/>
        <v>0</v>
      </c>
      <c r="CU217" s="72">
        <f t="shared" si="76"/>
        <v>0</v>
      </c>
      <c r="CV217" s="72">
        <f t="shared" si="77"/>
        <v>1716.4096884701796</v>
      </c>
      <c r="CW217" s="72">
        <f t="shared" si="78"/>
        <v>0</v>
      </c>
      <c r="CX217" s="70">
        <f t="shared" si="79"/>
        <v>41193.832523284313</v>
      </c>
    </row>
    <row r="218" spans="80:102">
      <c r="CB218" s="63">
        <v>27</v>
      </c>
      <c r="CC218" s="63">
        <f>data!$K48</f>
        <v>46</v>
      </c>
      <c r="CD218" s="63">
        <f>data!$L48</f>
        <v>6</v>
      </c>
      <c r="CE218" s="70">
        <f t="shared" si="60"/>
        <v>4800</v>
      </c>
      <c r="CF218" s="71">
        <f t="shared" si="61"/>
        <v>1</v>
      </c>
      <c r="CG218" s="71">
        <f t="shared" si="62"/>
        <v>1</v>
      </c>
      <c r="CH218" s="71">
        <f t="shared" si="63"/>
        <v>0</v>
      </c>
      <c r="CI218" s="71">
        <f t="shared" si="64"/>
        <v>0</v>
      </c>
      <c r="CJ218" s="72">
        <f t="shared" si="65"/>
        <v>4800</v>
      </c>
      <c r="CK218" s="72">
        <f t="shared" si="66"/>
        <v>2233.4</v>
      </c>
      <c r="CL218" s="72">
        <f t="shared" si="67"/>
        <v>2233.4</v>
      </c>
      <c r="CM218" s="70">
        <f t="shared" si="68"/>
        <v>28800</v>
      </c>
      <c r="CN218" s="72">
        <f t="shared" si="69"/>
        <v>1850</v>
      </c>
      <c r="CO218" s="72">
        <f t="shared" si="70"/>
        <v>750</v>
      </c>
      <c r="CP218" s="72">
        <f t="shared" si="71"/>
        <v>750</v>
      </c>
      <c r="CQ218" s="45">
        <f t="shared" si="72"/>
        <v>2.5945945945945947</v>
      </c>
      <c r="CR218" s="45">
        <f t="shared" si="73"/>
        <v>2.9778666666666669</v>
      </c>
      <c r="CS218" s="45">
        <f t="shared" si="74"/>
        <v>2.9778666666666669</v>
      </c>
      <c r="CT218" s="72">
        <f t="shared" si="75"/>
        <v>0</v>
      </c>
      <c r="CU218" s="72">
        <f t="shared" si="76"/>
        <v>0</v>
      </c>
      <c r="CV218" s="72">
        <f t="shared" si="77"/>
        <v>1850</v>
      </c>
      <c r="CW218" s="72">
        <f t="shared" si="78"/>
        <v>0</v>
      </c>
      <c r="CX218" s="70">
        <f t="shared" si="79"/>
        <v>11100</v>
      </c>
    </row>
    <row r="219" spans="80:102">
      <c r="CB219" s="63">
        <v>28</v>
      </c>
      <c r="CC219" s="63">
        <f>data!$K49</f>
        <v>47</v>
      </c>
      <c r="CD219" s="63">
        <f>data!$L49</f>
        <v>0</v>
      </c>
      <c r="CE219" s="70">
        <f t="shared" si="60"/>
        <v>4984.6153846153848</v>
      </c>
      <c r="CF219" s="71">
        <f t="shared" si="61"/>
        <v>1</v>
      </c>
      <c r="CG219" s="71">
        <f t="shared" si="62"/>
        <v>1</v>
      </c>
      <c r="CH219" s="71">
        <f t="shared" si="63"/>
        <v>0</v>
      </c>
      <c r="CI219" s="71">
        <f t="shared" si="64"/>
        <v>0</v>
      </c>
      <c r="CJ219" s="72">
        <f t="shared" si="65"/>
        <v>4736.363636363636</v>
      </c>
      <c r="CK219" s="72">
        <f t="shared" si="66"/>
        <v>2200.0727272727272</v>
      </c>
      <c r="CL219" s="72">
        <f t="shared" si="67"/>
        <v>2200.0727272727272</v>
      </c>
      <c r="CM219" s="70">
        <f t="shared" si="68"/>
        <v>0</v>
      </c>
      <c r="CN219" s="72">
        <f>IF($CC$219&lt;=35,$CC$181+($CC$186-$CC$181)/(35-29)*(35-$CC$219),$CC$176+($CC$181-$CC$176)/(46-35)*(46-$CC$219))</f>
        <v>1880</v>
      </c>
      <c r="CO219" s="72">
        <f>IF($CC$219&lt;=35,$CD$181+($CD$186-$CD$181)/(35-29)*(35-$CC$219),$CD$176+($CD$181-$CD$176)/(46-35)*(46-$CC$219))</f>
        <v>763.63636363636363</v>
      </c>
      <c r="CP219" s="72">
        <f>IF($CC$219&lt;=35,$CE$181+(($CE$186-$CE$181)/(35-29)*(35-$CC$219)),($CE$176+($CE$181-$CE$176)/(46-35)*(46-$CC$219)))</f>
        <v>763.63636363636363</v>
      </c>
      <c r="CQ219" s="45">
        <f>$CJ$219/$CN$219</f>
        <v>2.5193423597678914</v>
      </c>
      <c r="CR219" s="45">
        <f>$CK$219/$CO$219</f>
        <v>2.8810476190476191</v>
      </c>
      <c r="CS219" s="45">
        <f>$CL$219/$CP$219</f>
        <v>2.8810476190476191</v>
      </c>
      <c r="CT219" s="72">
        <f>IF($CE$219&lt;=$CL$219,$CG$219*$CP$219/$CF$219,0)</f>
        <v>0</v>
      </c>
      <c r="CU219" s="72">
        <f>IF($CL$219&lt;$CE$219,IF($CE$219&lt;=$CK$219,$CH$219*$CP$219+(1-$CH$219)*$CO$219,0),0)</f>
        <v>0</v>
      </c>
      <c r="CV219" s="72">
        <f>IF($CK$219&lt;$CE$219,IF($CE$219&lt;=$CJ$219,$CI$219*$CO$219+(1-$CI$219)*$CN$219,0),0)</f>
        <v>0</v>
      </c>
      <c r="CW219" s="72">
        <f>IF($CE$219&gt;$CJ$219,$CN$219,0)</f>
        <v>1880</v>
      </c>
      <c r="CX219" s="70">
        <f t="shared" si="79"/>
        <v>0</v>
      </c>
    </row>
    <row r="220" spans="80:102">
      <c r="CB220" s="63">
        <v>29</v>
      </c>
      <c r="CC220" s="63">
        <f>data!$K50</f>
        <v>48</v>
      </c>
      <c r="CD220" s="63">
        <f>data!$L50</f>
        <v>0</v>
      </c>
      <c r="CE220" s="70">
        <f t="shared" si="60"/>
        <v>5169.2307692307695</v>
      </c>
      <c r="CF220" s="71">
        <f t="shared" si="61"/>
        <v>1</v>
      </c>
      <c r="CG220" s="71">
        <f t="shared" si="62"/>
        <v>1</v>
      </c>
      <c r="CH220" s="71">
        <f t="shared" si="63"/>
        <v>0</v>
      </c>
      <c r="CI220" s="71">
        <f t="shared" si="64"/>
        <v>0</v>
      </c>
      <c r="CJ220" s="72">
        <f t="shared" si="65"/>
        <v>4672.727272727273</v>
      </c>
      <c r="CK220" s="72">
        <f t="shared" si="66"/>
        <v>2166.7454545454548</v>
      </c>
      <c r="CL220" s="72">
        <f t="shared" si="67"/>
        <v>2166.7454545454548</v>
      </c>
      <c r="CM220" s="70">
        <f t="shared" si="68"/>
        <v>0</v>
      </c>
      <c r="CN220" s="72">
        <f>IF($CC$220&lt;=35,$CC$181+($CC$186-$CC$181)/(35-29)*(35-$CC$220),$CC$176+($CC$181-$CC$176)/(46-35)*(46-$CC$220))</f>
        <v>1910</v>
      </c>
      <c r="CO220" s="72">
        <f>IF($CC$220&lt;=35,$CD$181+($CD$186-$CD$181)/(35-29)*(35-$CC$220),$CD$176+($CD$181-$CD$176)/(46-35)*(46-$CC$220))</f>
        <v>777.27272727272725</v>
      </c>
      <c r="CP220" s="72">
        <f>IF($CC$220&lt;=35,$CE$181+(($CE$186-$CE$181)/(35-29)*(35-$CC$220)),($CE$176+($CE$181-$CE$176)/(46-35)*(46-$CC$220)))</f>
        <v>777.27272727272725</v>
      </c>
      <c r="CQ220" s="45">
        <f>$CJ$220/$CN$220</f>
        <v>2.4464540694907186</v>
      </c>
      <c r="CR220" s="45">
        <f>$CK$220/$CO$220</f>
        <v>2.7876257309941526</v>
      </c>
      <c r="CS220" s="45">
        <f>$CL$220/$CP$220</f>
        <v>2.7876257309941526</v>
      </c>
      <c r="CT220" s="72">
        <f>IF($CE$220&lt;=$CL$220,$CG$220*$CP$220/$CF$220,0)</f>
        <v>0</v>
      </c>
      <c r="CU220" s="72">
        <f>IF($CL$220&lt;$CE$220,IF($CE$220&lt;=$CK$220,$CH$220*$CP$220+(1-$CH$220)*$CO$220,0),0)</f>
        <v>0</v>
      </c>
      <c r="CV220" s="72">
        <f>IF($CK$220&lt;$CE$220,IF($CE$220&lt;=$CJ$220,$CI$220*$CO$220+(1-$CI$220)*$CN$220,0),0)</f>
        <v>0</v>
      </c>
      <c r="CW220" s="72">
        <f>IF($CE$220&gt;$CJ$220,$CN$220,0)</f>
        <v>1910</v>
      </c>
      <c r="CX220" s="70">
        <f t="shared" si="79"/>
        <v>0</v>
      </c>
    </row>
    <row r="221" spans="80:102">
      <c r="CB221" s="63">
        <v>30</v>
      </c>
      <c r="CC221" s="63">
        <f>data!$K51</f>
        <v>49</v>
      </c>
      <c r="CD221" s="63">
        <f>data!$L51</f>
        <v>0</v>
      </c>
      <c r="CE221" s="70">
        <f t="shared" si="60"/>
        <v>5353.8461538461543</v>
      </c>
      <c r="CF221" s="71">
        <f t="shared" si="61"/>
        <v>1</v>
      </c>
      <c r="CG221" s="71">
        <f t="shared" si="62"/>
        <v>1</v>
      </c>
      <c r="CH221" s="71">
        <f t="shared" si="63"/>
        <v>0</v>
      </c>
      <c r="CI221" s="71">
        <f t="shared" si="64"/>
        <v>0</v>
      </c>
      <c r="CJ221" s="72">
        <f t="shared" si="65"/>
        <v>4609.090909090909</v>
      </c>
      <c r="CK221" s="72">
        <f t="shared" si="66"/>
        <v>2133.4181818181819</v>
      </c>
      <c r="CL221" s="72">
        <f t="shared" si="67"/>
        <v>2133.4181818181819</v>
      </c>
      <c r="CM221" s="70">
        <f t="shared" si="68"/>
        <v>0</v>
      </c>
      <c r="CN221" s="72">
        <f>IF($CC$221&lt;=35,$CC$181+($CC$186-$CC$181)/(35-29)*(35-$CC$221),$CC$176+($CC$181-$CC$176)/(46-35)*(46-$CC$221))</f>
        <v>1940</v>
      </c>
      <c r="CO221" s="72">
        <f>IF($CC$221&lt;=35,$CD$181+($CD$186-$CD$181)/(35-29)*(35-$CC$221),$CD$176+($CD$181-$CD$176)/(46-35)*(46-$CC$221))</f>
        <v>790.90909090909088</v>
      </c>
      <c r="CP221" s="72">
        <f>IF($CC$221&lt;=35,$CE$181+(($CE$186-$CE$181)/(35-29)*(35-$CC$221)),($CE$176+($CE$181-$CE$176)/(46-35)*(46-$CC$221)))</f>
        <v>790.90909090909088</v>
      </c>
      <c r="CQ221" s="45">
        <f>$CJ$221/$CN$221</f>
        <v>2.3758200562324272</v>
      </c>
      <c r="CR221" s="45">
        <f>$CK$221/$CO$221</f>
        <v>2.6974252873563223</v>
      </c>
      <c r="CS221" s="45">
        <f>$CL$221/$CP$221</f>
        <v>2.6974252873563223</v>
      </c>
      <c r="CT221" s="72">
        <f>IF($CE$221&lt;=$CL$221,$CG$221*$CP$221/$CF$221,0)</f>
        <v>0</v>
      </c>
      <c r="CU221" s="72">
        <f>IF($CL$221&lt;$CE$221,IF($CE$221&lt;=$CK$221,$CH$221*$CP$221+(1-$CH$221)*$CO$221,0),0)</f>
        <v>0</v>
      </c>
      <c r="CV221" s="72">
        <f>IF($CK$221&lt;$CE$221,IF($CE$221&lt;=$CJ$221,$CI$221*$CO$221+(1-$CI$221)*$CN$221,0),0)</f>
        <v>0</v>
      </c>
      <c r="CW221" s="72">
        <f>IF($CE$221&gt;$CJ$221,$CN$221,0)</f>
        <v>1940</v>
      </c>
      <c r="CX221" s="70">
        <f t="shared" si="79"/>
        <v>0</v>
      </c>
    </row>
    <row r="222" spans="80:102">
      <c r="CB222" s="63">
        <v>31</v>
      </c>
      <c r="CC222" s="63">
        <f>data!$K52</f>
        <v>50</v>
      </c>
      <c r="CD222" s="63">
        <f>data!$L52</f>
        <v>0</v>
      </c>
      <c r="CE222" s="70">
        <f t="shared" si="60"/>
        <v>5538.4615384615381</v>
      </c>
      <c r="CF222" s="71">
        <f t="shared" si="61"/>
        <v>1</v>
      </c>
      <c r="CG222" s="71">
        <f t="shared" si="62"/>
        <v>1</v>
      </c>
      <c r="CH222" s="71">
        <f t="shared" si="63"/>
        <v>0</v>
      </c>
      <c r="CI222" s="71">
        <f t="shared" si="64"/>
        <v>0</v>
      </c>
      <c r="CJ222" s="72">
        <f t="shared" si="65"/>
        <v>4545.454545454545</v>
      </c>
      <c r="CK222" s="72">
        <f t="shared" si="66"/>
        <v>2100.090909090909</v>
      </c>
      <c r="CL222" s="72">
        <f t="shared" si="67"/>
        <v>2100.090909090909</v>
      </c>
      <c r="CM222" s="70">
        <f t="shared" si="68"/>
        <v>0</v>
      </c>
      <c r="CN222" s="72">
        <f>IF($CC$222&lt;=35,$CC$181+($CC$186-$CC$181)/(35-29)*(35-$CC$222),$CC$176+($CC$181-$CC$176)/(46-35)*(46-$CC$222))</f>
        <v>1970</v>
      </c>
      <c r="CO222" s="72">
        <f>IF($CC$222&lt;=35,$CD$181+($CD$186-$CD$181)/(35-29)*(35-$CC$222),$CD$176+($CD$181-$CD$176)/(46-35)*(46-$CC$222))</f>
        <v>804.5454545454545</v>
      </c>
      <c r="CP222" s="72">
        <f>IF($CC$222&lt;=35,$CE$181+(($CE$186-$CE$181)/(35-29)*(35-$CC$222)),($CE$176+($CE$181-$CE$176)/(46-35)*(46-$CC$222)))</f>
        <v>804.5454545454545</v>
      </c>
      <c r="CQ222" s="45">
        <f>$CJ$222/$CN$222</f>
        <v>2.3073373327180433</v>
      </c>
      <c r="CR222" s="45">
        <f>$CK$222/$CO$222</f>
        <v>2.6102824858757061</v>
      </c>
      <c r="CS222" s="45">
        <f>$CL$222/$CP$222</f>
        <v>2.6102824858757061</v>
      </c>
      <c r="CT222" s="72">
        <f>IF($CE$222&lt;=$CL$222,$CG$222*$CP$222/$CF$222,0)</f>
        <v>0</v>
      </c>
      <c r="CU222" s="72">
        <f>IF($CL$222&lt;$CE$222,IF($CE$222&lt;=$CK$222,$CH$222*$CP$222+(1-$CH$222)*$CO$222,0),0)</f>
        <v>0</v>
      </c>
      <c r="CV222" s="72">
        <f>IF($CK$222&lt;$CE$222,IF($CE$222&lt;=$CJ$222,$CI$222*$CO$222+(1-$CI$222)*$CN$222,0),0)</f>
        <v>0</v>
      </c>
      <c r="CW222" s="72">
        <f>IF($CE$222&gt;$CJ$222,$CN$222,0)</f>
        <v>1970</v>
      </c>
      <c r="CX222" s="70">
        <f t="shared" si="79"/>
        <v>0</v>
      </c>
    </row>
    <row r="223" spans="80:102">
      <c r="CB223" s="63"/>
      <c r="CC223" s="63"/>
      <c r="CD223" s="63">
        <f>SUM(CD192:CD222)</f>
        <v>6493</v>
      </c>
      <c r="CE223" s="63"/>
      <c r="CF223" s="63"/>
      <c r="CG223" s="63"/>
      <c r="CH223" s="63"/>
      <c r="CI223" s="63"/>
      <c r="CJ223" s="63"/>
      <c r="CK223" s="63"/>
      <c r="CM223" s="62">
        <f>SUM(CM192:CM222)</f>
        <v>12655753.846153848</v>
      </c>
      <c r="CO223" s="44"/>
      <c r="CP223" s="44"/>
      <c r="CQ223" s="44"/>
      <c r="CR223" s="44"/>
      <c r="CS223" s="44"/>
      <c r="CT223" s="68"/>
      <c r="CU223" s="68"/>
      <c r="CV223" s="68"/>
      <c r="CX223" s="77">
        <f>SUM(CX192:CX222)</f>
        <v>3193533.8005707809</v>
      </c>
    </row>
  </sheetData>
  <sheetProtection algorithmName="SHA-512" hashValue="+x1aTaEzo0p6iCzl3fO8lhLJNXJKGJC/WYKavkbwiJxSudBz/iRof/NJDviAV+rUsoszchsOnV/DPajSlrteug==" saltValue="eDActk4gbkTtkzbcE4+4pw==" spinCount="100000" sheet="1" objects="1" scenarios="1"/>
  <dataConsolidate/>
  <mergeCells count="278">
    <mergeCell ref="AR48:AV49"/>
    <mergeCell ref="AR50:AV51"/>
    <mergeCell ref="AX48:BB49"/>
    <mergeCell ref="AX50:BB51"/>
    <mergeCell ref="U17:X17"/>
    <mergeCell ref="U15:X15"/>
    <mergeCell ref="U14:X14"/>
    <mergeCell ref="U13:X13"/>
    <mergeCell ref="U41:X41"/>
    <mergeCell ref="U39:X39"/>
    <mergeCell ref="U38:X38"/>
    <mergeCell ref="U37:X37"/>
    <mergeCell ref="AK51:AP51"/>
    <mergeCell ref="AK50:AP50"/>
    <mergeCell ref="AK49:AP49"/>
    <mergeCell ref="AK48:AP48"/>
    <mergeCell ref="AK45:AP45"/>
    <mergeCell ref="AK39:AP39"/>
    <mergeCell ref="AK38:AP38"/>
    <mergeCell ref="AK37:AP37"/>
    <mergeCell ref="AK35:AP35"/>
    <mergeCell ref="Y36:AB36"/>
    <mergeCell ref="AC36:AF36"/>
    <mergeCell ref="Y37:AB37"/>
    <mergeCell ref="AQ9:BB9"/>
    <mergeCell ref="AQ10:BB10"/>
    <mergeCell ref="AQ13:BB13"/>
    <mergeCell ref="AR11:AV11"/>
    <mergeCell ref="AX11:BB11"/>
    <mergeCell ref="AX18:BB18"/>
    <mergeCell ref="AR18:AV18"/>
    <mergeCell ref="AR45:AV45"/>
    <mergeCell ref="AX45:BB45"/>
    <mergeCell ref="AR39:AV39"/>
    <mergeCell ref="AX39:BB39"/>
    <mergeCell ref="AQ40:BB40"/>
    <mergeCell ref="AQ41:BB41"/>
    <mergeCell ref="AX21:BB22"/>
    <mergeCell ref="AR21:AV22"/>
    <mergeCell ref="AR23:AV24"/>
    <mergeCell ref="AX23:BB24"/>
    <mergeCell ref="AR42:AV42"/>
    <mergeCell ref="AX42:BB42"/>
    <mergeCell ref="AR43:AV43"/>
    <mergeCell ref="AX43:BB43"/>
    <mergeCell ref="AR44:AV44"/>
    <mergeCell ref="AX44:BB44"/>
    <mergeCell ref="A1:BD1"/>
    <mergeCell ref="A2:BD2"/>
    <mergeCell ref="AQ33:BB33"/>
    <mergeCell ref="AQ34:BB34"/>
    <mergeCell ref="AR35:AV35"/>
    <mergeCell ref="AX35:BB35"/>
    <mergeCell ref="AQ37:BB37"/>
    <mergeCell ref="AR38:AV38"/>
    <mergeCell ref="AX38:BB38"/>
    <mergeCell ref="AR14:AV14"/>
    <mergeCell ref="AX14:BB14"/>
    <mergeCell ref="AR15:AV15"/>
    <mergeCell ref="AX15:BB15"/>
    <mergeCell ref="AQ16:BB16"/>
    <mergeCell ref="AQ17:BB17"/>
    <mergeCell ref="AK31:AP31"/>
    <mergeCell ref="AK34:AP34"/>
    <mergeCell ref="AK33:AP33"/>
    <mergeCell ref="H31:K31"/>
    <mergeCell ref="H32:K32"/>
    <mergeCell ref="H33:K33"/>
    <mergeCell ref="L16:O16"/>
    <mergeCell ref="L15:O15"/>
    <mergeCell ref="L14:O14"/>
    <mergeCell ref="P43:Q43"/>
    <mergeCell ref="Y41:AB41"/>
    <mergeCell ref="L44:O44"/>
    <mergeCell ref="L43:O43"/>
    <mergeCell ref="AK44:AP44"/>
    <mergeCell ref="AK43:AP43"/>
    <mergeCell ref="AK42:AP42"/>
    <mergeCell ref="AK41:AP41"/>
    <mergeCell ref="AK40:AP40"/>
    <mergeCell ref="AC41:AF41"/>
    <mergeCell ref="L40:O40"/>
    <mergeCell ref="H43:K43"/>
    <mergeCell ref="H44:K44"/>
    <mergeCell ref="H45:K45"/>
    <mergeCell ref="H46:K46"/>
    <mergeCell ref="H49:K49"/>
    <mergeCell ref="H50:K50"/>
    <mergeCell ref="H52:K52"/>
    <mergeCell ref="H53:K53"/>
    <mergeCell ref="L53:O53"/>
    <mergeCell ref="L52:O52"/>
    <mergeCell ref="L51:O51"/>
    <mergeCell ref="L50:O50"/>
    <mergeCell ref="L49:O49"/>
    <mergeCell ref="L46:O46"/>
    <mergeCell ref="L45:O45"/>
    <mergeCell ref="L31:O31"/>
    <mergeCell ref="P31:Q31"/>
    <mergeCell ref="H14:K14"/>
    <mergeCell ref="H20:K20"/>
    <mergeCell ref="Y12:AB12"/>
    <mergeCell ref="Y13:AB13"/>
    <mergeCell ref="P14:Q14"/>
    <mergeCell ref="Y14:AB14"/>
    <mergeCell ref="H8:K8"/>
    <mergeCell ref="L8:O8"/>
    <mergeCell ref="P8:Q8"/>
    <mergeCell ref="L11:O11"/>
    <mergeCell ref="L10:O10"/>
    <mergeCell ref="L9:O9"/>
    <mergeCell ref="H11:K11"/>
    <mergeCell ref="H10:K10"/>
    <mergeCell ref="H9:K9"/>
    <mergeCell ref="H17:K17"/>
    <mergeCell ref="L17:O17"/>
    <mergeCell ref="D52:G52"/>
    <mergeCell ref="P52:Q52"/>
    <mergeCell ref="D53:G53"/>
    <mergeCell ref="P53:Q53"/>
    <mergeCell ref="D50:G50"/>
    <mergeCell ref="P50:Q50"/>
    <mergeCell ref="D45:G45"/>
    <mergeCell ref="P45:Q45"/>
    <mergeCell ref="D23:G23"/>
    <mergeCell ref="P23:Q23"/>
    <mergeCell ref="D51:G51"/>
    <mergeCell ref="P51:Q51"/>
    <mergeCell ref="D46:G46"/>
    <mergeCell ref="P46:Q46"/>
    <mergeCell ref="P49:Q49"/>
    <mergeCell ref="H51:K51"/>
    <mergeCell ref="D44:G44"/>
    <mergeCell ref="P44:Q44"/>
    <mergeCell ref="H38:K38"/>
    <mergeCell ref="H39:K39"/>
    <mergeCell ref="D40:G40"/>
    <mergeCell ref="P40:Q40"/>
    <mergeCell ref="P37:Q37"/>
    <mergeCell ref="H40:K40"/>
    <mergeCell ref="AC37:AF37"/>
    <mergeCell ref="H37:K37"/>
    <mergeCell ref="D39:G39"/>
    <mergeCell ref="P39:Q39"/>
    <mergeCell ref="Y39:AB39"/>
    <mergeCell ref="AC39:AF39"/>
    <mergeCell ref="D38:G38"/>
    <mergeCell ref="P38:Q38"/>
    <mergeCell ref="Y38:AB38"/>
    <mergeCell ref="AC38:AF38"/>
    <mergeCell ref="L39:O39"/>
    <mergeCell ref="L38:O38"/>
    <mergeCell ref="L37:O37"/>
    <mergeCell ref="D32:G32"/>
    <mergeCell ref="P32:Q32"/>
    <mergeCell ref="D34:G34"/>
    <mergeCell ref="P34:Q34"/>
    <mergeCell ref="D33:G33"/>
    <mergeCell ref="P33:Q33"/>
    <mergeCell ref="H34:K34"/>
    <mergeCell ref="L34:O34"/>
    <mergeCell ref="L33:O33"/>
    <mergeCell ref="L32:O32"/>
    <mergeCell ref="D17:G17"/>
    <mergeCell ref="P17:Q17"/>
    <mergeCell ref="D16:G16"/>
    <mergeCell ref="P16:Q16"/>
    <mergeCell ref="Y17:AB17"/>
    <mergeCell ref="H16:K16"/>
    <mergeCell ref="H15:K15"/>
    <mergeCell ref="D24:G24"/>
    <mergeCell ref="P24:Q24"/>
    <mergeCell ref="D22:G22"/>
    <mergeCell ref="P22:Q22"/>
    <mergeCell ref="P20:Q20"/>
    <mergeCell ref="D21:G21"/>
    <mergeCell ref="P21:Q21"/>
    <mergeCell ref="Y15:AB15"/>
    <mergeCell ref="L20:O20"/>
    <mergeCell ref="L24:O24"/>
    <mergeCell ref="L23:O23"/>
    <mergeCell ref="L22:O22"/>
    <mergeCell ref="L21:O21"/>
    <mergeCell ref="H24:K24"/>
    <mergeCell ref="H23:K23"/>
    <mergeCell ref="H22:K22"/>
    <mergeCell ref="H21:K21"/>
    <mergeCell ref="D11:G11"/>
    <mergeCell ref="P11:Q11"/>
    <mergeCell ref="D10:G10"/>
    <mergeCell ref="P10:Q10"/>
    <mergeCell ref="D9:G9"/>
    <mergeCell ref="P9:Q9"/>
    <mergeCell ref="D15:G15"/>
    <mergeCell ref="P15:Q15"/>
    <mergeCell ref="AC12:AF12"/>
    <mergeCell ref="AC13:AF13"/>
    <mergeCell ref="AC14:AF14"/>
    <mergeCell ref="AC15:AF15"/>
    <mergeCell ref="AC17:AF17"/>
    <mergeCell ref="AK7:AP7"/>
    <mergeCell ref="AK24:AP24"/>
    <mergeCell ref="AK23:AP23"/>
    <mergeCell ref="AK22:AP22"/>
    <mergeCell ref="AK21:AP21"/>
    <mergeCell ref="AK18:AP18"/>
    <mergeCell ref="AK17:AP17"/>
    <mergeCell ref="AK16:AP16"/>
    <mergeCell ref="AK15:AP15"/>
    <mergeCell ref="AK14:AP14"/>
    <mergeCell ref="AK11:AP11"/>
    <mergeCell ref="AK13:AP13"/>
    <mergeCell ref="AK10:AP10"/>
    <mergeCell ref="AK9:AP9"/>
    <mergeCell ref="CM9:CN9"/>
    <mergeCell ref="CK9:CL9"/>
    <mergeCell ref="CD15:CD16"/>
    <mergeCell ref="CB15:CB16"/>
    <mergeCell ref="CC15:CC16"/>
    <mergeCell ref="CJ15:CL15"/>
    <mergeCell ref="CF16:CF17"/>
    <mergeCell ref="CX16:CX17"/>
    <mergeCell ref="CG15:CI15"/>
    <mergeCell ref="CN15:CP15"/>
    <mergeCell ref="CQ15:CS15"/>
    <mergeCell ref="CM16:CM17"/>
    <mergeCell ref="CT15:CW15"/>
    <mergeCell ref="CI16:CI17"/>
    <mergeCell ref="CH16:CH17"/>
    <mergeCell ref="CG16:CG17"/>
    <mergeCell ref="CX75:CX76"/>
    <mergeCell ref="CK68:CL68"/>
    <mergeCell ref="CM68:CN68"/>
    <mergeCell ref="CB74:CB75"/>
    <mergeCell ref="CC74:CC75"/>
    <mergeCell ref="CD74:CD75"/>
    <mergeCell ref="CG74:CI74"/>
    <mergeCell ref="CJ74:CL74"/>
    <mergeCell ref="CN74:CP74"/>
    <mergeCell ref="CQ74:CS74"/>
    <mergeCell ref="CT74:CW74"/>
    <mergeCell ref="CF75:CF76"/>
    <mergeCell ref="CG75:CG76"/>
    <mergeCell ref="CH75:CH76"/>
    <mergeCell ref="CI75:CI76"/>
    <mergeCell ref="CM75:CM76"/>
    <mergeCell ref="CI130:CI131"/>
    <mergeCell ref="CG129:CI129"/>
    <mergeCell ref="CB129:CB130"/>
    <mergeCell ref="CC129:CC130"/>
    <mergeCell ref="CD129:CD130"/>
    <mergeCell ref="CH130:CH131"/>
    <mergeCell ref="CG130:CG131"/>
    <mergeCell ref="CF130:CF131"/>
    <mergeCell ref="CK118:CL118"/>
    <mergeCell ref="CM118:CN118"/>
    <mergeCell ref="CT129:CW129"/>
    <mergeCell ref="CM130:CM131"/>
    <mergeCell ref="CX130:CX131"/>
    <mergeCell ref="CN129:CP129"/>
    <mergeCell ref="CQ129:CS129"/>
    <mergeCell ref="CJ129:CL129"/>
    <mergeCell ref="CX190:CX191"/>
    <mergeCell ref="CK178:CL178"/>
    <mergeCell ref="CM178:CN178"/>
    <mergeCell ref="CB189:CB190"/>
    <mergeCell ref="CC189:CC190"/>
    <mergeCell ref="CD189:CD190"/>
    <mergeCell ref="CG189:CI189"/>
    <mergeCell ref="CJ189:CL189"/>
    <mergeCell ref="CN189:CP189"/>
    <mergeCell ref="CQ189:CS189"/>
    <mergeCell ref="CT189:CW189"/>
    <mergeCell ref="CF190:CF191"/>
    <mergeCell ref="CG190:CG191"/>
    <mergeCell ref="CH190:CH191"/>
    <mergeCell ref="CI190:CI191"/>
    <mergeCell ref="CM190:CM191"/>
  </mergeCells>
  <phoneticPr fontId="3"/>
  <conditionalFormatting sqref="AQ48:BB49">
    <cfRule type="expression" dxfId="54" priority="34">
      <formula>$BD$35="Measure"</formula>
    </cfRule>
  </conditionalFormatting>
  <conditionalFormatting sqref="H10:Q10">
    <cfRule type="expression" dxfId="53" priority="20">
      <formula>$BC$14=1</formula>
    </cfRule>
  </conditionalFormatting>
  <conditionalFormatting sqref="H11:Q11">
    <cfRule type="expression" dxfId="52" priority="19">
      <formula>$BC$15=1</formula>
    </cfRule>
  </conditionalFormatting>
  <conditionalFormatting sqref="H17:Q17">
    <cfRule type="expression" dxfId="51" priority="18">
      <formula>$BC$18=1</formula>
    </cfRule>
  </conditionalFormatting>
  <conditionalFormatting sqref="H21:Q22">
    <cfRule type="expression" dxfId="50" priority="17">
      <formula>$BC$21=1</formula>
    </cfRule>
  </conditionalFormatting>
  <conditionalFormatting sqref="H23:Q24">
    <cfRule type="expression" dxfId="49" priority="16">
      <formula>$BC$23=1</formula>
    </cfRule>
  </conditionalFormatting>
  <conditionalFormatting sqref="H33:Q33">
    <cfRule type="expression" dxfId="48" priority="15">
      <formula>$BC$38=1</formula>
    </cfRule>
  </conditionalFormatting>
  <conditionalFormatting sqref="H34:Q34">
    <cfRule type="expression" dxfId="47" priority="14">
      <formula>$BC$39=1</formula>
    </cfRule>
  </conditionalFormatting>
  <conditionalFormatting sqref="H40:Q40">
    <cfRule type="expression" dxfId="46" priority="13">
      <formula>$BC$42=1</formula>
    </cfRule>
  </conditionalFormatting>
  <conditionalFormatting sqref="H44:Q44">
    <cfRule type="expression" dxfId="45" priority="12">
      <formula>$BC$43=1</formula>
    </cfRule>
  </conditionalFormatting>
  <conditionalFormatting sqref="H45:Q45">
    <cfRule type="expression" dxfId="44" priority="11">
      <formula>$BC$44=1</formula>
    </cfRule>
  </conditionalFormatting>
  <conditionalFormatting sqref="H46:Q46">
    <cfRule type="expression" dxfId="43" priority="10">
      <formula>$BC$45=1</formula>
    </cfRule>
  </conditionalFormatting>
  <conditionalFormatting sqref="H50:Q51">
    <cfRule type="expression" dxfId="42" priority="9">
      <formula>$BC$48=1</formula>
    </cfRule>
  </conditionalFormatting>
  <conditionalFormatting sqref="H52:Q53">
    <cfRule type="expression" dxfId="41" priority="8">
      <formula>$BC$50=1</formula>
    </cfRule>
  </conditionalFormatting>
  <conditionalFormatting sqref="AQ18:BB18">
    <cfRule type="expression" dxfId="40" priority="7">
      <formula>$BC$11=2</formula>
    </cfRule>
  </conditionalFormatting>
  <conditionalFormatting sqref="AQ42:BB42">
    <cfRule type="expression" dxfId="39" priority="6">
      <formula>$BC$35=2</formula>
    </cfRule>
  </conditionalFormatting>
  <conditionalFormatting sqref="AQ11:BB11 AQ14:BB15 AQ18:BB18 AQ21:BB24">
    <cfRule type="expression" dxfId="38" priority="5">
      <formula>$BC$7=1</formula>
    </cfRule>
  </conditionalFormatting>
  <conditionalFormatting sqref="AQ15:BB15 AQ18:BB18 AQ23:BB24">
    <cfRule type="expression" dxfId="37" priority="4">
      <formula>$BC$11=1</formula>
    </cfRule>
  </conditionalFormatting>
  <conditionalFormatting sqref="AQ21:BB22">
    <cfRule type="expression" dxfId="36" priority="3">
      <formula>$BC$11=2</formula>
    </cfRule>
  </conditionalFormatting>
  <conditionalFormatting sqref="AQ35:BB35 AQ38:BB39 AQ42:BB45 AQ48:BB51">
    <cfRule type="expression" dxfId="35" priority="2">
      <formula>$BC$31=1</formula>
    </cfRule>
  </conditionalFormatting>
  <conditionalFormatting sqref="AQ39:BB39 AQ42:BB42 AQ45:BB45 AQ50:BB51">
    <cfRule type="expression" dxfId="34" priority="1">
      <formula>$BC$35=1</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 r:id="rId4" name="Option Button 71">
              <controlPr locked="0" defaultSize="0" autoFill="0" autoLine="0" autoPict="0" macro="[0]!Multi_Stage">
                <anchor moveWithCells="1">
                  <from>
                    <xdr:col>42</xdr:col>
                    <xdr:colOff>9525</xdr:colOff>
                    <xdr:row>5</xdr:row>
                    <xdr:rowOff>104775</xdr:rowOff>
                  </from>
                  <to>
                    <xdr:col>46</xdr:col>
                    <xdr:colOff>0</xdr:colOff>
                    <xdr:row>7</xdr:row>
                    <xdr:rowOff>57150</xdr:rowOff>
                  </to>
                </anchor>
              </controlPr>
            </control>
          </mc:Choice>
        </mc:AlternateContent>
        <mc:AlternateContent xmlns:mc="http://schemas.openxmlformats.org/markup-compatibility/2006">
          <mc:Choice Requires="x14">
            <control shapeId="2120" r:id="rId5" name="Option Button 72">
              <controlPr locked="0" defaultSize="0" autoFill="0" autoLine="0" autoPict="0" macro="[0]!Multi_Stage">
                <anchor moveWithCells="1">
                  <from>
                    <xdr:col>48</xdr:col>
                    <xdr:colOff>19050</xdr:colOff>
                    <xdr:row>5</xdr:row>
                    <xdr:rowOff>95250</xdr:rowOff>
                  </from>
                  <to>
                    <xdr:col>52</xdr:col>
                    <xdr:colOff>0</xdr:colOff>
                    <xdr:row>7</xdr:row>
                    <xdr:rowOff>38100</xdr:rowOff>
                  </to>
                </anchor>
              </controlPr>
            </control>
          </mc:Choice>
        </mc:AlternateContent>
        <mc:AlternateContent xmlns:mc="http://schemas.openxmlformats.org/markup-compatibility/2006">
          <mc:Choice Requires="x14">
            <control shapeId="2121" r:id="rId6" name="Group Box 73">
              <controlPr defaultSize="0" autoFill="0" autoPict="0">
                <anchor moveWithCells="1">
                  <from>
                    <xdr:col>41</xdr:col>
                    <xdr:colOff>133350</xdr:colOff>
                    <xdr:row>5</xdr:row>
                    <xdr:rowOff>9525</xdr:rowOff>
                  </from>
                  <to>
                    <xdr:col>55</xdr:col>
                    <xdr:colOff>0</xdr:colOff>
                    <xdr:row>7</xdr:row>
                    <xdr:rowOff>114300</xdr:rowOff>
                  </to>
                </anchor>
              </controlPr>
            </control>
          </mc:Choice>
        </mc:AlternateContent>
        <mc:AlternateContent xmlns:mc="http://schemas.openxmlformats.org/markup-compatibility/2006">
          <mc:Choice Requires="x14">
            <control shapeId="2122" r:id="rId7" name="Option Button 74">
              <controlPr locked="0" defaultSize="0" autoFill="0" autoLine="0" autoPict="0" macro="[0]!Multi_Stage">
                <anchor moveWithCells="1">
                  <from>
                    <xdr:col>42</xdr:col>
                    <xdr:colOff>19050</xdr:colOff>
                    <xdr:row>9</xdr:row>
                    <xdr:rowOff>95250</xdr:rowOff>
                  </from>
                  <to>
                    <xdr:col>46</xdr:col>
                    <xdr:colOff>0</xdr:colOff>
                    <xdr:row>11</xdr:row>
                    <xdr:rowOff>38100</xdr:rowOff>
                  </to>
                </anchor>
              </controlPr>
            </control>
          </mc:Choice>
        </mc:AlternateContent>
        <mc:AlternateContent xmlns:mc="http://schemas.openxmlformats.org/markup-compatibility/2006">
          <mc:Choice Requires="x14">
            <control shapeId="2123" r:id="rId8" name="Option Button 75">
              <controlPr locked="0" defaultSize="0" autoFill="0" autoLine="0" autoPict="0" macro="[0]!Multi_Stage">
                <anchor moveWithCells="1">
                  <from>
                    <xdr:col>48</xdr:col>
                    <xdr:colOff>9525</xdr:colOff>
                    <xdr:row>9</xdr:row>
                    <xdr:rowOff>114300</xdr:rowOff>
                  </from>
                  <to>
                    <xdr:col>52</xdr:col>
                    <xdr:colOff>0</xdr:colOff>
                    <xdr:row>11</xdr:row>
                    <xdr:rowOff>38100</xdr:rowOff>
                  </to>
                </anchor>
              </controlPr>
            </control>
          </mc:Choice>
        </mc:AlternateContent>
        <mc:AlternateContent xmlns:mc="http://schemas.openxmlformats.org/markup-compatibility/2006">
          <mc:Choice Requires="x14">
            <control shapeId="2124" r:id="rId9" name="Group Box 76">
              <controlPr defaultSize="0" autoFill="0" autoPict="0">
                <anchor moveWithCells="1">
                  <from>
                    <xdr:col>41</xdr:col>
                    <xdr:colOff>76200</xdr:colOff>
                    <xdr:row>9</xdr:row>
                    <xdr:rowOff>28575</xdr:rowOff>
                  </from>
                  <to>
                    <xdr:col>54</xdr:col>
                    <xdr:colOff>171450</xdr:colOff>
                    <xdr:row>11</xdr:row>
                    <xdr:rowOff>95250</xdr:rowOff>
                  </to>
                </anchor>
              </controlPr>
            </control>
          </mc:Choice>
        </mc:AlternateContent>
        <mc:AlternateContent xmlns:mc="http://schemas.openxmlformats.org/markup-compatibility/2006">
          <mc:Choice Requires="x14">
            <control shapeId="2125" r:id="rId10" name="Option Button 77">
              <controlPr locked="0" defaultSize="0" autoFill="0" autoLine="0" autoPict="0">
                <anchor moveWithCells="1">
                  <from>
                    <xdr:col>42</xdr:col>
                    <xdr:colOff>19050</xdr:colOff>
                    <xdr:row>12</xdr:row>
                    <xdr:rowOff>95250</xdr:rowOff>
                  </from>
                  <to>
                    <xdr:col>46</xdr:col>
                    <xdr:colOff>0</xdr:colOff>
                    <xdr:row>14</xdr:row>
                    <xdr:rowOff>38100</xdr:rowOff>
                  </to>
                </anchor>
              </controlPr>
            </control>
          </mc:Choice>
        </mc:AlternateContent>
        <mc:AlternateContent xmlns:mc="http://schemas.openxmlformats.org/markup-compatibility/2006">
          <mc:Choice Requires="x14">
            <control shapeId="2126" r:id="rId11" name="Option Button 78">
              <controlPr locked="0" defaultSize="0" autoFill="0" autoLine="0" autoPict="0">
                <anchor moveWithCells="1">
                  <from>
                    <xdr:col>48</xdr:col>
                    <xdr:colOff>9525</xdr:colOff>
                    <xdr:row>12</xdr:row>
                    <xdr:rowOff>95250</xdr:rowOff>
                  </from>
                  <to>
                    <xdr:col>52</xdr:col>
                    <xdr:colOff>0</xdr:colOff>
                    <xdr:row>14</xdr:row>
                    <xdr:rowOff>38100</xdr:rowOff>
                  </to>
                </anchor>
              </controlPr>
            </control>
          </mc:Choice>
        </mc:AlternateContent>
        <mc:AlternateContent xmlns:mc="http://schemas.openxmlformats.org/markup-compatibility/2006">
          <mc:Choice Requires="x14">
            <control shapeId="2127" r:id="rId12" name="Group Box 79">
              <controlPr defaultSize="0" autoFill="0" autoPict="0">
                <anchor moveWithCells="1">
                  <from>
                    <xdr:col>41</xdr:col>
                    <xdr:colOff>123825</xdr:colOff>
                    <xdr:row>12</xdr:row>
                    <xdr:rowOff>38100</xdr:rowOff>
                  </from>
                  <to>
                    <xdr:col>56</xdr:col>
                    <xdr:colOff>171450</xdr:colOff>
                    <xdr:row>14</xdr:row>
                    <xdr:rowOff>76200</xdr:rowOff>
                  </to>
                </anchor>
              </controlPr>
            </control>
          </mc:Choice>
        </mc:AlternateContent>
        <mc:AlternateContent xmlns:mc="http://schemas.openxmlformats.org/markup-compatibility/2006">
          <mc:Choice Requires="x14">
            <control shapeId="2128" r:id="rId13" name="Option Button 80">
              <controlPr locked="0" defaultSize="0" autoFill="0" autoLine="0" autoPict="0">
                <anchor moveWithCells="1">
                  <from>
                    <xdr:col>42</xdr:col>
                    <xdr:colOff>19050</xdr:colOff>
                    <xdr:row>13</xdr:row>
                    <xdr:rowOff>95250</xdr:rowOff>
                  </from>
                  <to>
                    <xdr:col>46</xdr:col>
                    <xdr:colOff>0</xdr:colOff>
                    <xdr:row>15</xdr:row>
                    <xdr:rowOff>38100</xdr:rowOff>
                  </to>
                </anchor>
              </controlPr>
            </control>
          </mc:Choice>
        </mc:AlternateContent>
        <mc:AlternateContent xmlns:mc="http://schemas.openxmlformats.org/markup-compatibility/2006">
          <mc:Choice Requires="x14">
            <control shapeId="2129" r:id="rId14" name="Option Button 81">
              <controlPr locked="0" defaultSize="0" autoFill="0" autoLine="0" autoPict="0">
                <anchor moveWithCells="1">
                  <from>
                    <xdr:col>48</xdr:col>
                    <xdr:colOff>9525</xdr:colOff>
                    <xdr:row>13</xdr:row>
                    <xdr:rowOff>95250</xdr:rowOff>
                  </from>
                  <to>
                    <xdr:col>52</xdr:col>
                    <xdr:colOff>0</xdr:colOff>
                    <xdr:row>15</xdr:row>
                    <xdr:rowOff>38100</xdr:rowOff>
                  </to>
                </anchor>
              </controlPr>
            </control>
          </mc:Choice>
        </mc:AlternateContent>
        <mc:AlternateContent xmlns:mc="http://schemas.openxmlformats.org/markup-compatibility/2006">
          <mc:Choice Requires="x14">
            <control shapeId="2130" r:id="rId15" name="Group Box 82">
              <controlPr defaultSize="0" autoFill="0" autoPict="0">
                <anchor moveWithCells="1">
                  <from>
                    <xdr:col>41</xdr:col>
                    <xdr:colOff>104775</xdr:colOff>
                    <xdr:row>13</xdr:row>
                    <xdr:rowOff>28575</xdr:rowOff>
                  </from>
                  <to>
                    <xdr:col>54</xdr:col>
                    <xdr:colOff>190500</xdr:colOff>
                    <xdr:row>15</xdr:row>
                    <xdr:rowOff>76200</xdr:rowOff>
                  </to>
                </anchor>
              </controlPr>
            </control>
          </mc:Choice>
        </mc:AlternateContent>
        <mc:AlternateContent xmlns:mc="http://schemas.openxmlformats.org/markup-compatibility/2006">
          <mc:Choice Requires="x14">
            <control shapeId="2131" r:id="rId16" name="Option Button 83">
              <controlPr locked="0" defaultSize="0" autoFill="0" autoLine="0" autoPict="0">
                <anchor moveWithCells="1">
                  <from>
                    <xdr:col>42</xdr:col>
                    <xdr:colOff>9525</xdr:colOff>
                    <xdr:row>16</xdr:row>
                    <xdr:rowOff>85725</xdr:rowOff>
                  </from>
                  <to>
                    <xdr:col>46</xdr:col>
                    <xdr:colOff>0</xdr:colOff>
                    <xdr:row>18</xdr:row>
                    <xdr:rowOff>19050</xdr:rowOff>
                  </to>
                </anchor>
              </controlPr>
            </control>
          </mc:Choice>
        </mc:AlternateContent>
        <mc:AlternateContent xmlns:mc="http://schemas.openxmlformats.org/markup-compatibility/2006">
          <mc:Choice Requires="x14">
            <control shapeId="2132" r:id="rId17" name="Option Button 84">
              <controlPr locked="0" defaultSize="0" autoFill="0" autoLine="0" autoPict="0">
                <anchor moveWithCells="1">
                  <from>
                    <xdr:col>48</xdr:col>
                    <xdr:colOff>9525</xdr:colOff>
                    <xdr:row>16</xdr:row>
                    <xdr:rowOff>95250</xdr:rowOff>
                  </from>
                  <to>
                    <xdr:col>52</xdr:col>
                    <xdr:colOff>0</xdr:colOff>
                    <xdr:row>18</xdr:row>
                    <xdr:rowOff>38100</xdr:rowOff>
                  </to>
                </anchor>
              </controlPr>
            </control>
          </mc:Choice>
        </mc:AlternateContent>
        <mc:AlternateContent xmlns:mc="http://schemas.openxmlformats.org/markup-compatibility/2006">
          <mc:Choice Requires="x14">
            <control shapeId="2133" r:id="rId18" name="Group Box 85">
              <controlPr defaultSize="0" autoFill="0" autoPict="0">
                <anchor moveWithCells="1">
                  <from>
                    <xdr:col>41</xdr:col>
                    <xdr:colOff>95250</xdr:colOff>
                    <xdr:row>16</xdr:row>
                    <xdr:rowOff>28575</xdr:rowOff>
                  </from>
                  <to>
                    <xdr:col>54</xdr:col>
                    <xdr:colOff>171450</xdr:colOff>
                    <xdr:row>18</xdr:row>
                    <xdr:rowOff>95250</xdr:rowOff>
                  </to>
                </anchor>
              </controlPr>
            </control>
          </mc:Choice>
        </mc:AlternateContent>
        <mc:AlternateContent xmlns:mc="http://schemas.openxmlformats.org/markup-compatibility/2006">
          <mc:Choice Requires="x14">
            <control shapeId="2134" r:id="rId19" name="Option Button 86">
              <controlPr locked="0" defaultSize="0" autoFill="0" autoLine="0" autoPict="0">
                <anchor moveWithCells="1">
                  <from>
                    <xdr:col>42</xdr:col>
                    <xdr:colOff>9525</xdr:colOff>
                    <xdr:row>20</xdr:row>
                    <xdr:rowOff>19050</xdr:rowOff>
                  </from>
                  <to>
                    <xdr:col>46</xdr:col>
                    <xdr:colOff>0</xdr:colOff>
                    <xdr:row>21</xdr:row>
                    <xdr:rowOff>95250</xdr:rowOff>
                  </to>
                </anchor>
              </controlPr>
            </control>
          </mc:Choice>
        </mc:AlternateContent>
        <mc:AlternateContent xmlns:mc="http://schemas.openxmlformats.org/markup-compatibility/2006">
          <mc:Choice Requires="x14">
            <control shapeId="2135" r:id="rId20" name="Option Button 87">
              <controlPr locked="0" defaultSize="0" autoFill="0" autoLine="0" autoPict="0">
                <anchor moveWithCells="1">
                  <from>
                    <xdr:col>48</xdr:col>
                    <xdr:colOff>9525</xdr:colOff>
                    <xdr:row>20</xdr:row>
                    <xdr:rowOff>9525</xdr:rowOff>
                  </from>
                  <to>
                    <xdr:col>52</xdr:col>
                    <xdr:colOff>0</xdr:colOff>
                    <xdr:row>21</xdr:row>
                    <xdr:rowOff>95250</xdr:rowOff>
                  </to>
                </anchor>
              </controlPr>
            </control>
          </mc:Choice>
        </mc:AlternateContent>
        <mc:AlternateContent xmlns:mc="http://schemas.openxmlformats.org/markup-compatibility/2006">
          <mc:Choice Requires="x14">
            <control shapeId="2136" r:id="rId21" name="Group Box 88">
              <controlPr defaultSize="0" autoFill="0" autoPict="0">
                <anchor moveWithCells="1">
                  <from>
                    <xdr:col>41</xdr:col>
                    <xdr:colOff>85725</xdr:colOff>
                    <xdr:row>19</xdr:row>
                    <xdr:rowOff>66675</xdr:rowOff>
                  </from>
                  <to>
                    <xdr:col>54</xdr:col>
                    <xdr:colOff>152400</xdr:colOff>
                    <xdr:row>22</xdr:row>
                    <xdr:rowOff>38100</xdr:rowOff>
                  </to>
                </anchor>
              </controlPr>
            </control>
          </mc:Choice>
        </mc:AlternateContent>
        <mc:AlternateContent xmlns:mc="http://schemas.openxmlformats.org/markup-compatibility/2006">
          <mc:Choice Requires="x14">
            <control shapeId="2137" r:id="rId22" name="Option Button 89">
              <controlPr locked="0" defaultSize="0" autoFill="0" autoLine="0" autoPict="0">
                <anchor moveWithCells="1">
                  <from>
                    <xdr:col>42</xdr:col>
                    <xdr:colOff>9525</xdr:colOff>
                    <xdr:row>22</xdr:row>
                    <xdr:rowOff>9525</xdr:rowOff>
                  </from>
                  <to>
                    <xdr:col>46</xdr:col>
                    <xdr:colOff>0</xdr:colOff>
                    <xdr:row>23</xdr:row>
                    <xdr:rowOff>95250</xdr:rowOff>
                  </to>
                </anchor>
              </controlPr>
            </control>
          </mc:Choice>
        </mc:AlternateContent>
        <mc:AlternateContent xmlns:mc="http://schemas.openxmlformats.org/markup-compatibility/2006">
          <mc:Choice Requires="x14">
            <control shapeId="2138" r:id="rId23" name="Option Button 90">
              <controlPr locked="0" defaultSize="0" autoFill="0" autoLine="0" autoPict="0">
                <anchor moveWithCells="1">
                  <from>
                    <xdr:col>48</xdr:col>
                    <xdr:colOff>9525</xdr:colOff>
                    <xdr:row>22</xdr:row>
                    <xdr:rowOff>9525</xdr:rowOff>
                  </from>
                  <to>
                    <xdr:col>52</xdr:col>
                    <xdr:colOff>0</xdr:colOff>
                    <xdr:row>23</xdr:row>
                    <xdr:rowOff>95250</xdr:rowOff>
                  </to>
                </anchor>
              </controlPr>
            </control>
          </mc:Choice>
        </mc:AlternateContent>
        <mc:AlternateContent xmlns:mc="http://schemas.openxmlformats.org/markup-compatibility/2006">
          <mc:Choice Requires="x14">
            <control shapeId="2139" r:id="rId24" name="Group Box 91">
              <controlPr defaultSize="0" autoFill="0" autoPict="0">
                <anchor moveWithCells="1">
                  <from>
                    <xdr:col>41</xdr:col>
                    <xdr:colOff>114300</xdr:colOff>
                    <xdr:row>21</xdr:row>
                    <xdr:rowOff>104775</xdr:rowOff>
                  </from>
                  <to>
                    <xdr:col>54</xdr:col>
                    <xdr:colOff>114300</xdr:colOff>
                    <xdr:row>24</xdr:row>
                    <xdr:rowOff>57150</xdr:rowOff>
                  </to>
                </anchor>
              </controlPr>
            </control>
          </mc:Choice>
        </mc:AlternateContent>
        <mc:AlternateContent xmlns:mc="http://schemas.openxmlformats.org/markup-compatibility/2006">
          <mc:Choice Requires="x14">
            <control shapeId="2140" r:id="rId25" name="Option Button 92">
              <controlPr locked="0" defaultSize="0" autoFill="0" autoLine="0" autoPict="0" macro="[0]!Multi_Stage">
                <anchor moveWithCells="1">
                  <from>
                    <xdr:col>42</xdr:col>
                    <xdr:colOff>9525</xdr:colOff>
                    <xdr:row>29</xdr:row>
                    <xdr:rowOff>104775</xdr:rowOff>
                  </from>
                  <to>
                    <xdr:col>45</xdr:col>
                    <xdr:colOff>190500</xdr:colOff>
                    <xdr:row>31</xdr:row>
                    <xdr:rowOff>57150</xdr:rowOff>
                  </to>
                </anchor>
              </controlPr>
            </control>
          </mc:Choice>
        </mc:AlternateContent>
        <mc:AlternateContent xmlns:mc="http://schemas.openxmlformats.org/markup-compatibility/2006">
          <mc:Choice Requires="x14">
            <control shapeId="2141" r:id="rId26" name="Option Button 93">
              <controlPr locked="0" defaultSize="0" autoFill="0" autoLine="0" autoPict="0" macro="[0]!Multi_Stage">
                <anchor moveWithCells="1">
                  <from>
                    <xdr:col>48</xdr:col>
                    <xdr:colOff>9525</xdr:colOff>
                    <xdr:row>29</xdr:row>
                    <xdr:rowOff>95250</xdr:rowOff>
                  </from>
                  <to>
                    <xdr:col>52</xdr:col>
                    <xdr:colOff>0</xdr:colOff>
                    <xdr:row>31</xdr:row>
                    <xdr:rowOff>38100</xdr:rowOff>
                  </to>
                </anchor>
              </controlPr>
            </control>
          </mc:Choice>
        </mc:AlternateContent>
        <mc:AlternateContent xmlns:mc="http://schemas.openxmlformats.org/markup-compatibility/2006">
          <mc:Choice Requires="x14">
            <control shapeId="2142" r:id="rId27" name="Group Box 94">
              <controlPr defaultSize="0" autoFill="0" autoPict="0">
                <anchor moveWithCells="1">
                  <from>
                    <xdr:col>41</xdr:col>
                    <xdr:colOff>123825</xdr:colOff>
                    <xdr:row>29</xdr:row>
                    <xdr:rowOff>28575</xdr:rowOff>
                  </from>
                  <to>
                    <xdr:col>54</xdr:col>
                    <xdr:colOff>95250</xdr:colOff>
                    <xdr:row>31</xdr:row>
                    <xdr:rowOff>95250</xdr:rowOff>
                  </to>
                </anchor>
              </controlPr>
            </control>
          </mc:Choice>
        </mc:AlternateContent>
        <mc:AlternateContent xmlns:mc="http://schemas.openxmlformats.org/markup-compatibility/2006">
          <mc:Choice Requires="x14">
            <control shapeId="2143" r:id="rId28" name="Option Button 95">
              <controlPr locked="0" defaultSize="0" autoFill="0" autoLine="0" autoPict="0" macro="[0]!Multi_Stage">
                <anchor moveWithCells="1">
                  <from>
                    <xdr:col>42</xdr:col>
                    <xdr:colOff>9525</xdr:colOff>
                    <xdr:row>33</xdr:row>
                    <xdr:rowOff>95250</xdr:rowOff>
                  </from>
                  <to>
                    <xdr:col>46</xdr:col>
                    <xdr:colOff>0</xdr:colOff>
                    <xdr:row>35</xdr:row>
                    <xdr:rowOff>38100</xdr:rowOff>
                  </to>
                </anchor>
              </controlPr>
            </control>
          </mc:Choice>
        </mc:AlternateContent>
        <mc:AlternateContent xmlns:mc="http://schemas.openxmlformats.org/markup-compatibility/2006">
          <mc:Choice Requires="x14">
            <control shapeId="2144" r:id="rId29" name="Option Button 96">
              <controlPr locked="0" defaultSize="0" autoFill="0" autoLine="0" autoPict="0" macro="[0]!Multi_Stage">
                <anchor moveWithCells="1">
                  <from>
                    <xdr:col>48</xdr:col>
                    <xdr:colOff>9525</xdr:colOff>
                    <xdr:row>33</xdr:row>
                    <xdr:rowOff>95250</xdr:rowOff>
                  </from>
                  <to>
                    <xdr:col>52</xdr:col>
                    <xdr:colOff>0</xdr:colOff>
                    <xdr:row>35</xdr:row>
                    <xdr:rowOff>38100</xdr:rowOff>
                  </to>
                </anchor>
              </controlPr>
            </control>
          </mc:Choice>
        </mc:AlternateContent>
        <mc:AlternateContent xmlns:mc="http://schemas.openxmlformats.org/markup-compatibility/2006">
          <mc:Choice Requires="x14">
            <control shapeId="2145" r:id="rId30" name="Group Box 97">
              <controlPr defaultSize="0" autoFill="0" autoPict="0">
                <anchor moveWithCells="1">
                  <from>
                    <xdr:col>41</xdr:col>
                    <xdr:colOff>133350</xdr:colOff>
                    <xdr:row>33</xdr:row>
                    <xdr:rowOff>38100</xdr:rowOff>
                  </from>
                  <to>
                    <xdr:col>54</xdr:col>
                    <xdr:colOff>114300</xdr:colOff>
                    <xdr:row>35</xdr:row>
                    <xdr:rowOff>76200</xdr:rowOff>
                  </to>
                </anchor>
              </controlPr>
            </control>
          </mc:Choice>
        </mc:AlternateContent>
        <mc:AlternateContent xmlns:mc="http://schemas.openxmlformats.org/markup-compatibility/2006">
          <mc:Choice Requires="x14">
            <control shapeId="2146" r:id="rId31" name="Option Button 98">
              <controlPr locked="0" defaultSize="0" autoFill="0" autoLine="0" autoPict="0">
                <anchor moveWithCells="1">
                  <from>
                    <xdr:col>42</xdr:col>
                    <xdr:colOff>9525</xdr:colOff>
                    <xdr:row>36</xdr:row>
                    <xdr:rowOff>95250</xdr:rowOff>
                  </from>
                  <to>
                    <xdr:col>46</xdr:col>
                    <xdr:colOff>0</xdr:colOff>
                    <xdr:row>38</xdr:row>
                    <xdr:rowOff>38100</xdr:rowOff>
                  </to>
                </anchor>
              </controlPr>
            </control>
          </mc:Choice>
        </mc:AlternateContent>
        <mc:AlternateContent xmlns:mc="http://schemas.openxmlformats.org/markup-compatibility/2006">
          <mc:Choice Requires="x14">
            <control shapeId="2147" r:id="rId32" name="Option Button 99">
              <controlPr locked="0" defaultSize="0" autoFill="0" autoLine="0" autoPict="0">
                <anchor moveWithCells="1">
                  <from>
                    <xdr:col>48</xdr:col>
                    <xdr:colOff>9525</xdr:colOff>
                    <xdr:row>36</xdr:row>
                    <xdr:rowOff>95250</xdr:rowOff>
                  </from>
                  <to>
                    <xdr:col>52</xdr:col>
                    <xdr:colOff>0</xdr:colOff>
                    <xdr:row>38</xdr:row>
                    <xdr:rowOff>38100</xdr:rowOff>
                  </to>
                </anchor>
              </controlPr>
            </control>
          </mc:Choice>
        </mc:AlternateContent>
        <mc:AlternateContent xmlns:mc="http://schemas.openxmlformats.org/markup-compatibility/2006">
          <mc:Choice Requires="x14">
            <control shapeId="2148" r:id="rId33" name="Group Box 100">
              <controlPr defaultSize="0" autoFill="0" autoPict="0">
                <anchor moveWithCells="1">
                  <from>
                    <xdr:col>41</xdr:col>
                    <xdr:colOff>104775</xdr:colOff>
                    <xdr:row>36</xdr:row>
                    <xdr:rowOff>28575</xdr:rowOff>
                  </from>
                  <to>
                    <xdr:col>55</xdr:col>
                    <xdr:colOff>95250</xdr:colOff>
                    <xdr:row>38</xdr:row>
                    <xdr:rowOff>95250</xdr:rowOff>
                  </to>
                </anchor>
              </controlPr>
            </control>
          </mc:Choice>
        </mc:AlternateContent>
        <mc:AlternateContent xmlns:mc="http://schemas.openxmlformats.org/markup-compatibility/2006">
          <mc:Choice Requires="x14">
            <control shapeId="2149" r:id="rId34" name="Option Button 101">
              <controlPr locked="0" defaultSize="0" autoFill="0" autoLine="0" autoPict="0">
                <anchor moveWithCells="1">
                  <from>
                    <xdr:col>42</xdr:col>
                    <xdr:colOff>9525</xdr:colOff>
                    <xdr:row>37</xdr:row>
                    <xdr:rowOff>95250</xdr:rowOff>
                  </from>
                  <to>
                    <xdr:col>46</xdr:col>
                    <xdr:colOff>57150</xdr:colOff>
                    <xdr:row>39</xdr:row>
                    <xdr:rowOff>38100</xdr:rowOff>
                  </to>
                </anchor>
              </controlPr>
            </control>
          </mc:Choice>
        </mc:AlternateContent>
        <mc:AlternateContent xmlns:mc="http://schemas.openxmlformats.org/markup-compatibility/2006">
          <mc:Choice Requires="x14">
            <control shapeId="2150" r:id="rId35" name="Option Button 102">
              <controlPr locked="0" defaultSize="0" autoFill="0" autoLine="0" autoPict="0">
                <anchor moveWithCells="1">
                  <from>
                    <xdr:col>48</xdr:col>
                    <xdr:colOff>9525</xdr:colOff>
                    <xdr:row>37</xdr:row>
                    <xdr:rowOff>95250</xdr:rowOff>
                  </from>
                  <to>
                    <xdr:col>52</xdr:col>
                    <xdr:colOff>76200</xdr:colOff>
                    <xdr:row>39</xdr:row>
                    <xdr:rowOff>38100</xdr:rowOff>
                  </to>
                </anchor>
              </controlPr>
            </control>
          </mc:Choice>
        </mc:AlternateContent>
        <mc:AlternateContent xmlns:mc="http://schemas.openxmlformats.org/markup-compatibility/2006">
          <mc:Choice Requires="x14">
            <control shapeId="2151" r:id="rId36" name="Group Box 103">
              <controlPr defaultSize="0" autoFill="0" autoPict="0">
                <anchor moveWithCells="1">
                  <from>
                    <xdr:col>41</xdr:col>
                    <xdr:colOff>152400</xdr:colOff>
                    <xdr:row>37</xdr:row>
                    <xdr:rowOff>66675</xdr:rowOff>
                  </from>
                  <to>
                    <xdr:col>54</xdr:col>
                    <xdr:colOff>152400</xdr:colOff>
                    <xdr:row>39</xdr:row>
                    <xdr:rowOff>76200</xdr:rowOff>
                  </to>
                </anchor>
              </controlPr>
            </control>
          </mc:Choice>
        </mc:AlternateContent>
        <mc:AlternateContent xmlns:mc="http://schemas.openxmlformats.org/markup-compatibility/2006">
          <mc:Choice Requires="x14">
            <control shapeId="2152" r:id="rId37" name="Option Button 104">
              <controlPr locked="0" defaultSize="0" autoFill="0" autoLine="0" autoPict="0">
                <anchor moveWithCells="1">
                  <from>
                    <xdr:col>42</xdr:col>
                    <xdr:colOff>9525</xdr:colOff>
                    <xdr:row>40</xdr:row>
                    <xdr:rowOff>95250</xdr:rowOff>
                  </from>
                  <to>
                    <xdr:col>46</xdr:col>
                    <xdr:colOff>76200</xdr:colOff>
                    <xdr:row>42</xdr:row>
                    <xdr:rowOff>38100</xdr:rowOff>
                  </to>
                </anchor>
              </controlPr>
            </control>
          </mc:Choice>
        </mc:AlternateContent>
        <mc:AlternateContent xmlns:mc="http://schemas.openxmlformats.org/markup-compatibility/2006">
          <mc:Choice Requires="x14">
            <control shapeId="2153" r:id="rId38" name="Option Button 105">
              <controlPr locked="0" defaultSize="0" autoFill="0" autoLine="0" autoPict="0">
                <anchor moveWithCells="1">
                  <from>
                    <xdr:col>48</xdr:col>
                    <xdr:colOff>9525</xdr:colOff>
                    <xdr:row>40</xdr:row>
                    <xdr:rowOff>95250</xdr:rowOff>
                  </from>
                  <to>
                    <xdr:col>52</xdr:col>
                    <xdr:colOff>76200</xdr:colOff>
                    <xdr:row>42</xdr:row>
                    <xdr:rowOff>38100</xdr:rowOff>
                  </to>
                </anchor>
              </controlPr>
            </control>
          </mc:Choice>
        </mc:AlternateContent>
        <mc:AlternateContent xmlns:mc="http://schemas.openxmlformats.org/markup-compatibility/2006">
          <mc:Choice Requires="x14">
            <control shapeId="2154" r:id="rId39" name="Group Box 106">
              <controlPr defaultSize="0" autoFill="0" autoPict="0">
                <anchor moveWithCells="1">
                  <from>
                    <xdr:col>41</xdr:col>
                    <xdr:colOff>104775</xdr:colOff>
                    <xdr:row>40</xdr:row>
                    <xdr:rowOff>19050</xdr:rowOff>
                  </from>
                  <to>
                    <xdr:col>55</xdr:col>
                    <xdr:colOff>190500</xdr:colOff>
                    <xdr:row>42</xdr:row>
                    <xdr:rowOff>76200</xdr:rowOff>
                  </to>
                </anchor>
              </controlPr>
            </control>
          </mc:Choice>
        </mc:AlternateContent>
        <mc:AlternateContent xmlns:mc="http://schemas.openxmlformats.org/markup-compatibility/2006">
          <mc:Choice Requires="x14">
            <control shapeId="2155" r:id="rId40" name="Option Button 107">
              <controlPr locked="0" defaultSize="0" autoFill="0" autoLine="0" autoPict="0">
                <anchor moveWithCells="1">
                  <from>
                    <xdr:col>42</xdr:col>
                    <xdr:colOff>9525</xdr:colOff>
                    <xdr:row>41</xdr:row>
                    <xdr:rowOff>95250</xdr:rowOff>
                  </from>
                  <to>
                    <xdr:col>46</xdr:col>
                    <xdr:colOff>76200</xdr:colOff>
                    <xdr:row>43</xdr:row>
                    <xdr:rowOff>38100</xdr:rowOff>
                  </to>
                </anchor>
              </controlPr>
            </control>
          </mc:Choice>
        </mc:AlternateContent>
        <mc:AlternateContent xmlns:mc="http://schemas.openxmlformats.org/markup-compatibility/2006">
          <mc:Choice Requires="x14">
            <control shapeId="2156" r:id="rId41" name="Option Button 108">
              <controlPr locked="0" defaultSize="0" autoFill="0" autoLine="0" autoPict="0">
                <anchor moveWithCells="1">
                  <from>
                    <xdr:col>48</xdr:col>
                    <xdr:colOff>9525</xdr:colOff>
                    <xdr:row>41</xdr:row>
                    <xdr:rowOff>95250</xdr:rowOff>
                  </from>
                  <to>
                    <xdr:col>52</xdr:col>
                    <xdr:colOff>76200</xdr:colOff>
                    <xdr:row>43</xdr:row>
                    <xdr:rowOff>38100</xdr:rowOff>
                  </to>
                </anchor>
              </controlPr>
            </control>
          </mc:Choice>
        </mc:AlternateContent>
        <mc:AlternateContent xmlns:mc="http://schemas.openxmlformats.org/markup-compatibility/2006">
          <mc:Choice Requires="x14">
            <control shapeId="2157" r:id="rId42" name="Group Box 109">
              <controlPr defaultSize="0" autoFill="0" autoPict="0">
                <anchor moveWithCells="1">
                  <from>
                    <xdr:col>41</xdr:col>
                    <xdr:colOff>114300</xdr:colOff>
                    <xdr:row>41</xdr:row>
                    <xdr:rowOff>57150</xdr:rowOff>
                  </from>
                  <to>
                    <xdr:col>54</xdr:col>
                    <xdr:colOff>133350</xdr:colOff>
                    <xdr:row>43</xdr:row>
                    <xdr:rowOff>76200</xdr:rowOff>
                  </to>
                </anchor>
              </controlPr>
            </control>
          </mc:Choice>
        </mc:AlternateContent>
        <mc:AlternateContent xmlns:mc="http://schemas.openxmlformats.org/markup-compatibility/2006">
          <mc:Choice Requires="x14">
            <control shapeId="2158" r:id="rId43" name="Option Button 110">
              <controlPr locked="0" defaultSize="0" autoFill="0" autoLine="0" autoPict="0">
                <anchor moveWithCells="1">
                  <from>
                    <xdr:col>42</xdr:col>
                    <xdr:colOff>9525</xdr:colOff>
                    <xdr:row>42</xdr:row>
                    <xdr:rowOff>95250</xdr:rowOff>
                  </from>
                  <to>
                    <xdr:col>46</xdr:col>
                    <xdr:colOff>57150</xdr:colOff>
                    <xdr:row>44</xdr:row>
                    <xdr:rowOff>38100</xdr:rowOff>
                  </to>
                </anchor>
              </controlPr>
            </control>
          </mc:Choice>
        </mc:AlternateContent>
        <mc:AlternateContent xmlns:mc="http://schemas.openxmlformats.org/markup-compatibility/2006">
          <mc:Choice Requires="x14">
            <control shapeId="2159" r:id="rId44" name="Option Button 111">
              <controlPr locked="0" defaultSize="0" autoFill="0" autoLine="0" autoPict="0">
                <anchor moveWithCells="1">
                  <from>
                    <xdr:col>48</xdr:col>
                    <xdr:colOff>9525</xdr:colOff>
                    <xdr:row>42</xdr:row>
                    <xdr:rowOff>104775</xdr:rowOff>
                  </from>
                  <to>
                    <xdr:col>52</xdr:col>
                    <xdr:colOff>76200</xdr:colOff>
                    <xdr:row>44</xdr:row>
                    <xdr:rowOff>57150</xdr:rowOff>
                  </to>
                </anchor>
              </controlPr>
            </control>
          </mc:Choice>
        </mc:AlternateContent>
        <mc:AlternateContent xmlns:mc="http://schemas.openxmlformats.org/markup-compatibility/2006">
          <mc:Choice Requires="x14">
            <control shapeId="2160" r:id="rId45" name="Group Box 112">
              <controlPr defaultSize="0" autoFill="0" autoPict="0">
                <anchor moveWithCells="1">
                  <from>
                    <xdr:col>41</xdr:col>
                    <xdr:colOff>123825</xdr:colOff>
                    <xdr:row>42</xdr:row>
                    <xdr:rowOff>57150</xdr:rowOff>
                  </from>
                  <to>
                    <xdr:col>56</xdr:col>
                    <xdr:colOff>57150</xdr:colOff>
                    <xdr:row>44</xdr:row>
                    <xdr:rowOff>95250</xdr:rowOff>
                  </to>
                </anchor>
              </controlPr>
            </control>
          </mc:Choice>
        </mc:AlternateContent>
        <mc:AlternateContent xmlns:mc="http://schemas.openxmlformats.org/markup-compatibility/2006">
          <mc:Choice Requires="x14">
            <control shapeId="2161" r:id="rId46" name="Option Button 113">
              <controlPr locked="0" defaultSize="0" autoFill="0" autoLine="0" autoPict="0">
                <anchor moveWithCells="1">
                  <from>
                    <xdr:col>42</xdr:col>
                    <xdr:colOff>9525</xdr:colOff>
                    <xdr:row>43</xdr:row>
                    <xdr:rowOff>95250</xdr:rowOff>
                  </from>
                  <to>
                    <xdr:col>46</xdr:col>
                    <xdr:colOff>76200</xdr:colOff>
                    <xdr:row>45</xdr:row>
                    <xdr:rowOff>38100</xdr:rowOff>
                  </to>
                </anchor>
              </controlPr>
            </control>
          </mc:Choice>
        </mc:AlternateContent>
        <mc:AlternateContent xmlns:mc="http://schemas.openxmlformats.org/markup-compatibility/2006">
          <mc:Choice Requires="x14">
            <control shapeId="2162" r:id="rId47" name="Option Button 114">
              <controlPr locked="0" defaultSize="0" autoFill="0" autoLine="0" autoPict="0">
                <anchor moveWithCells="1">
                  <from>
                    <xdr:col>48</xdr:col>
                    <xdr:colOff>9525</xdr:colOff>
                    <xdr:row>43</xdr:row>
                    <xdr:rowOff>114300</xdr:rowOff>
                  </from>
                  <to>
                    <xdr:col>52</xdr:col>
                    <xdr:colOff>57150</xdr:colOff>
                    <xdr:row>45</xdr:row>
                    <xdr:rowOff>38100</xdr:rowOff>
                  </to>
                </anchor>
              </controlPr>
            </control>
          </mc:Choice>
        </mc:AlternateContent>
        <mc:AlternateContent xmlns:mc="http://schemas.openxmlformats.org/markup-compatibility/2006">
          <mc:Choice Requires="x14">
            <control shapeId="2163" r:id="rId48" name="Group Box 115">
              <controlPr defaultSize="0" autoFill="0" autoPict="0">
                <anchor moveWithCells="1">
                  <from>
                    <xdr:col>41</xdr:col>
                    <xdr:colOff>133350</xdr:colOff>
                    <xdr:row>43</xdr:row>
                    <xdr:rowOff>66675</xdr:rowOff>
                  </from>
                  <to>
                    <xdr:col>55</xdr:col>
                    <xdr:colOff>57150</xdr:colOff>
                    <xdr:row>45</xdr:row>
                    <xdr:rowOff>76200</xdr:rowOff>
                  </to>
                </anchor>
              </controlPr>
            </control>
          </mc:Choice>
        </mc:AlternateContent>
        <mc:AlternateContent xmlns:mc="http://schemas.openxmlformats.org/markup-compatibility/2006">
          <mc:Choice Requires="x14">
            <control shapeId="2164" r:id="rId49" name="Option Button 116">
              <controlPr locked="0" defaultSize="0" autoFill="0" autoLine="0" autoPict="0">
                <anchor moveWithCells="1">
                  <from>
                    <xdr:col>42</xdr:col>
                    <xdr:colOff>9525</xdr:colOff>
                    <xdr:row>47</xdr:row>
                    <xdr:rowOff>9525</xdr:rowOff>
                  </from>
                  <to>
                    <xdr:col>46</xdr:col>
                    <xdr:colOff>57150</xdr:colOff>
                    <xdr:row>48</xdr:row>
                    <xdr:rowOff>95250</xdr:rowOff>
                  </to>
                </anchor>
              </controlPr>
            </control>
          </mc:Choice>
        </mc:AlternateContent>
        <mc:AlternateContent xmlns:mc="http://schemas.openxmlformats.org/markup-compatibility/2006">
          <mc:Choice Requires="x14">
            <control shapeId="2165" r:id="rId50" name="Option Button 117">
              <controlPr locked="0" defaultSize="0" autoFill="0" autoLine="0" autoPict="0">
                <anchor moveWithCells="1">
                  <from>
                    <xdr:col>48</xdr:col>
                    <xdr:colOff>9525</xdr:colOff>
                    <xdr:row>47</xdr:row>
                    <xdr:rowOff>9525</xdr:rowOff>
                  </from>
                  <to>
                    <xdr:col>52</xdr:col>
                    <xdr:colOff>76200</xdr:colOff>
                    <xdr:row>48</xdr:row>
                    <xdr:rowOff>95250</xdr:rowOff>
                  </to>
                </anchor>
              </controlPr>
            </control>
          </mc:Choice>
        </mc:AlternateContent>
        <mc:AlternateContent xmlns:mc="http://schemas.openxmlformats.org/markup-compatibility/2006">
          <mc:Choice Requires="x14">
            <control shapeId="2166" r:id="rId51" name="Group Box 118">
              <controlPr defaultSize="0" autoFill="0" autoPict="0">
                <anchor moveWithCells="1">
                  <from>
                    <xdr:col>41</xdr:col>
                    <xdr:colOff>133350</xdr:colOff>
                    <xdr:row>46</xdr:row>
                    <xdr:rowOff>57150</xdr:rowOff>
                  </from>
                  <to>
                    <xdr:col>54</xdr:col>
                    <xdr:colOff>95250</xdr:colOff>
                    <xdr:row>49</xdr:row>
                    <xdr:rowOff>38100</xdr:rowOff>
                  </to>
                </anchor>
              </controlPr>
            </control>
          </mc:Choice>
        </mc:AlternateContent>
        <mc:AlternateContent xmlns:mc="http://schemas.openxmlformats.org/markup-compatibility/2006">
          <mc:Choice Requires="x14">
            <control shapeId="2167" r:id="rId52" name="Option Button 119">
              <controlPr locked="0" defaultSize="0" autoFill="0" autoLine="0" autoPict="0">
                <anchor moveWithCells="1">
                  <from>
                    <xdr:col>42</xdr:col>
                    <xdr:colOff>9525</xdr:colOff>
                    <xdr:row>49</xdr:row>
                    <xdr:rowOff>9525</xdr:rowOff>
                  </from>
                  <to>
                    <xdr:col>46</xdr:col>
                    <xdr:colOff>57150</xdr:colOff>
                    <xdr:row>50</xdr:row>
                    <xdr:rowOff>95250</xdr:rowOff>
                  </to>
                </anchor>
              </controlPr>
            </control>
          </mc:Choice>
        </mc:AlternateContent>
        <mc:AlternateContent xmlns:mc="http://schemas.openxmlformats.org/markup-compatibility/2006">
          <mc:Choice Requires="x14">
            <control shapeId="2168" r:id="rId53" name="Option Button 120">
              <controlPr locked="0" defaultSize="0" autoFill="0" autoLine="0" autoPict="0">
                <anchor moveWithCells="1">
                  <from>
                    <xdr:col>48</xdr:col>
                    <xdr:colOff>9525</xdr:colOff>
                    <xdr:row>49</xdr:row>
                    <xdr:rowOff>9525</xdr:rowOff>
                  </from>
                  <to>
                    <xdr:col>52</xdr:col>
                    <xdr:colOff>76200</xdr:colOff>
                    <xdr:row>50</xdr:row>
                    <xdr:rowOff>95250</xdr:rowOff>
                  </to>
                </anchor>
              </controlPr>
            </control>
          </mc:Choice>
        </mc:AlternateContent>
        <mc:AlternateContent xmlns:mc="http://schemas.openxmlformats.org/markup-compatibility/2006">
          <mc:Choice Requires="x14">
            <control shapeId="2169" r:id="rId54" name="Group Box 121">
              <controlPr defaultSize="0" autoFill="0" autoPict="0">
                <anchor moveWithCells="1">
                  <from>
                    <xdr:col>41</xdr:col>
                    <xdr:colOff>104775</xdr:colOff>
                    <xdr:row>48</xdr:row>
                    <xdr:rowOff>114300</xdr:rowOff>
                  </from>
                  <to>
                    <xdr:col>54</xdr:col>
                    <xdr:colOff>95250</xdr:colOff>
                    <xdr:row>51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CS223"/>
  <sheetViews>
    <sheetView zoomScaleNormal="100" workbookViewId="0">
      <selection activeCell="BC43" activeCellId="14" sqref="H9:O10 H14:O15 H19:O20 H29:O30 H34:O35 H39:O40 H44:O45 BC7 BC13 BC19 BC28 BC34 BC39 BC40 BC43"/>
    </sheetView>
  </sheetViews>
  <sheetFormatPr defaultColWidth="9" defaultRowHeight="14.25"/>
  <cols>
    <col min="1" max="52" width="2.75" style="35" customWidth="1"/>
    <col min="53" max="78" width="2.625" style="35" customWidth="1"/>
    <col min="79" max="97" width="12.75" style="29" customWidth="1"/>
    <col min="98" max="156" width="12.75" style="35" customWidth="1"/>
    <col min="157" max="16384" width="9" style="35"/>
  </cols>
  <sheetData>
    <row r="1" spans="1:97" s="27" customFormat="1" ht="24.75" customHeight="1">
      <c r="A1" s="115" t="str">
        <f>'Variable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72</v>
      </c>
      <c r="CB1" s="29"/>
      <c r="CC1" s="29"/>
      <c r="CD1" s="29"/>
      <c r="CE1" s="29"/>
      <c r="CF1" s="29" t="str">
        <f>data!D7</f>
        <v>International</v>
      </c>
      <c r="CG1" s="29"/>
      <c r="CH1" s="29"/>
      <c r="CI1" s="29"/>
      <c r="CJ1" s="29"/>
      <c r="CK1" s="29"/>
      <c r="CL1" s="30"/>
      <c r="CM1" s="29"/>
      <c r="CN1" s="29"/>
      <c r="CO1" s="29"/>
      <c r="CP1" s="29"/>
      <c r="CQ1" s="29"/>
      <c r="CR1" s="29"/>
      <c r="CS1" s="29"/>
    </row>
    <row r="2" spans="1:97" s="27" customFormat="1" ht="24.75" customHeight="1">
      <c r="A2" s="116" t="s">
        <v>63</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row>
    <row r="3" spans="1:97"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6"/>
      <c r="BD3" s="76"/>
      <c r="BE3" s="35"/>
      <c r="BF3" s="35"/>
      <c r="BG3" s="35"/>
      <c r="BH3" s="35"/>
      <c r="BI3" s="35"/>
      <c r="BJ3" s="82"/>
      <c r="BK3" s="35"/>
      <c r="BL3" s="35"/>
      <c r="CA3" s="28"/>
      <c r="CB3" s="37" t="s">
        <v>262</v>
      </c>
      <c r="CC3" s="38">
        <f>'Two-stage Capacity unit'!$H$9</f>
        <v>5500</v>
      </c>
      <c r="CD3" s="39"/>
      <c r="CE3" s="40" t="s">
        <v>0</v>
      </c>
      <c r="CF3" s="41">
        <f>$CK$49/$CS$49</f>
        <v>4.7499252013146904</v>
      </c>
      <c r="CG3" s="29"/>
      <c r="CH3" s="29"/>
      <c r="CI3" s="29"/>
      <c r="CJ3" s="42"/>
      <c r="CK3" s="29"/>
      <c r="CL3" s="43"/>
      <c r="CM3" s="29"/>
      <c r="CN3" s="29"/>
      <c r="CO3" s="29"/>
      <c r="CP3" s="29"/>
      <c r="CQ3" s="29"/>
      <c r="CR3" s="29"/>
      <c r="CS3" s="29"/>
    </row>
    <row r="4" spans="1:97"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6"/>
      <c r="BD4" s="76"/>
      <c r="BE4" s="35" t="s">
        <v>126</v>
      </c>
      <c r="BF4" s="35"/>
      <c r="BG4" s="35"/>
      <c r="BH4" s="35"/>
      <c r="BI4" s="35"/>
      <c r="BJ4" s="35"/>
      <c r="BK4" s="35"/>
      <c r="BL4" s="35"/>
      <c r="CA4" s="28"/>
      <c r="CB4" s="29"/>
      <c r="CC4" s="29"/>
      <c r="CD4" s="29"/>
      <c r="CE4" s="29"/>
      <c r="CF4" s="29"/>
      <c r="CG4" s="29"/>
      <c r="CH4" s="29"/>
      <c r="CI4" s="29"/>
      <c r="CJ4" s="29"/>
      <c r="CK4" s="29"/>
      <c r="CL4" s="43"/>
      <c r="CM4" s="29"/>
      <c r="CN4" s="29"/>
      <c r="CO4" s="29"/>
      <c r="CP4" s="29"/>
      <c r="CQ4" s="29"/>
      <c r="CR4" s="29"/>
      <c r="CS4" s="29"/>
    </row>
    <row r="5" spans="1:97"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6"/>
      <c r="BD5" s="76"/>
      <c r="BE5" s="35" t="s">
        <v>126</v>
      </c>
      <c r="BF5" s="35"/>
      <c r="BG5" s="35"/>
      <c r="CA5" s="28"/>
      <c r="CB5" s="29"/>
      <c r="CC5" s="44" t="s">
        <v>269</v>
      </c>
      <c r="CD5" s="44" t="s">
        <v>136</v>
      </c>
      <c r="CE5" s="29"/>
      <c r="CF5" s="29"/>
      <c r="CG5" s="44" t="s">
        <v>19</v>
      </c>
      <c r="CH5" s="61">
        <f>IF('Two-stage Capacity unit'!$BD$7="Required test",data!$D$14,IF('Two-stage Capacity unit'!$BD$19="Default",data!$D$14,$CK$9))</f>
        <v>0.25</v>
      </c>
      <c r="CI5" s="29"/>
      <c r="CJ5" s="29"/>
      <c r="CK5" s="40" t="s">
        <v>77</v>
      </c>
      <c r="CL5" s="40" t="s">
        <v>78</v>
      </c>
      <c r="CM5" s="29"/>
      <c r="CN5" s="29"/>
      <c r="CO5" s="29"/>
      <c r="CP5" s="29"/>
      <c r="CQ5" s="29"/>
      <c r="CR5" s="29"/>
      <c r="CS5" s="29"/>
    </row>
    <row r="6" spans="1:97"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33"/>
      <c r="BE6" s="35" t="s">
        <v>126</v>
      </c>
      <c r="CA6" s="28"/>
      <c r="CB6" s="51" t="s">
        <v>18</v>
      </c>
      <c r="CC6" s="52">
        <f>'Two-stage Capacity unit'!$H$9</f>
        <v>5500</v>
      </c>
      <c r="CD6" s="52">
        <f>IF('Two-stage Capacity unit'!$BD$7="Required test",$CD$11/$CH$6,IF('Two-stage Capacity unit'!$BD$13="Default",$CD$11/$CH$6,'Two-stage Capacity unit'!$H$10))</f>
        <v>2646.2395543175489</v>
      </c>
      <c r="CE6" s="29"/>
      <c r="CF6" s="29"/>
      <c r="CG6" s="53" t="s">
        <v>178</v>
      </c>
      <c r="CH6" s="53">
        <f>data!$D$15</f>
        <v>1.077</v>
      </c>
      <c r="CI6" s="29"/>
      <c r="CJ6" s="40" t="s">
        <v>18</v>
      </c>
      <c r="CK6" s="40">
        <f>'Two-stage Capacity unit'!$H$20</f>
        <v>2500</v>
      </c>
      <c r="CL6" s="40">
        <f>'Two-stage Capacity unit'!$H$19</f>
        <v>3300</v>
      </c>
      <c r="CM6" s="29"/>
      <c r="CN6" s="29"/>
      <c r="CO6" s="29"/>
      <c r="CP6" s="29"/>
      <c r="CQ6" s="29"/>
      <c r="CR6" s="29"/>
      <c r="CS6" s="29"/>
    </row>
    <row r="7" spans="1:97"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29"/>
      <c r="AQ7" s="54"/>
      <c r="AR7" s="55" t="str">
        <f>'Variable Capacity unit'!$AR$7</f>
        <v>Required test only</v>
      </c>
      <c r="AS7" s="55"/>
      <c r="AT7" s="55"/>
      <c r="AU7" s="55"/>
      <c r="AV7" s="56"/>
      <c r="AW7" s="57"/>
      <c r="AX7" s="58" t="str">
        <f>'Variable Capacity unit'!$AX$7</f>
        <v>With Optional test</v>
      </c>
      <c r="AY7" s="58"/>
      <c r="AZ7" s="58"/>
      <c r="BA7" s="58"/>
      <c r="BB7" s="59"/>
      <c r="BC7" s="81">
        <v>1</v>
      </c>
      <c r="BD7" s="33" t="str">
        <f>IF($BC$7=2,"Optional test","Required test")</f>
        <v>Required test</v>
      </c>
      <c r="BE7" s="35" t="s">
        <v>126</v>
      </c>
      <c r="BL7" s="50"/>
      <c r="BM7" s="50"/>
      <c r="BN7" s="50"/>
      <c r="BO7" s="50"/>
      <c r="BP7" s="50"/>
      <c r="BQ7" s="50"/>
      <c r="CA7" s="28"/>
      <c r="CB7" s="51" t="s">
        <v>83</v>
      </c>
      <c r="CC7" s="52">
        <f>'Two-stage Capacity unit'!$L$9</f>
        <v>1520</v>
      </c>
      <c r="CD7" s="52">
        <f>IF('Two-stage Capacity unit'!$BD$7="Required test",$CD$12/$CH$7,IF('Two-stage Capacity unit'!$BD$13="Default",$CD$12/$CH$7,'Two-stage Capacity unit'!$L$10))</f>
        <v>634.57330415754916</v>
      </c>
      <c r="CE7" s="29"/>
      <c r="CF7" s="29"/>
      <c r="CG7" s="53" t="s">
        <v>179</v>
      </c>
      <c r="CH7" s="53">
        <f>data!$D$16</f>
        <v>0.91400000000000003</v>
      </c>
      <c r="CI7" s="29"/>
      <c r="CJ7" s="40" t="s">
        <v>1</v>
      </c>
      <c r="CK7" s="40">
        <f>'Two-stage Capacity unit'!$L$20</f>
        <v>480</v>
      </c>
      <c r="CL7" s="40">
        <f>'Two-stage Capacity unit'!$L$19</f>
        <v>580</v>
      </c>
      <c r="CM7" s="29"/>
      <c r="CN7" s="29"/>
      <c r="CO7" s="29"/>
      <c r="CP7" s="29"/>
      <c r="CQ7" s="29"/>
      <c r="CR7" s="29"/>
      <c r="CS7" s="29"/>
    </row>
    <row r="8" spans="1:97"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2"/>
      <c r="AR8" s="32"/>
      <c r="AS8" s="32"/>
      <c r="AT8" s="32"/>
      <c r="AU8" s="32"/>
      <c r="AV8" s="32"/>
      <c r="AW8" s="32"/>
      <c r="AX8" s="32"/>
      <c r="AY8" s="32"/>
      <c r="AZ8" s="32"/>
      <c r="BA8" s="32"/>
      <c r="BB8" s="32"/>
      <c r="BC8" s="33"/>
      <c r="BD8" s="33"/>
      <c r="BE8" s="35" t="s">
        <v>126</v>
      </c>
      <c r="BL8" s="50"/>
      <c r="BM8" s="50"/>
      <c r="BN8" s="50"/>
      <c r="BO8" s="50"/>
      <c r="BP8" s="50"/>
      <c r="BQ8" s="50"/>
      <c r="CA8" s="28"/>
      <c r="CB8" s="44" t="s">
        <v>242</v>
      </c>
      <c r="CC8" s="61">
        <f>$CC$6/$CC$7</f>
        <v>3.6184210526315788</v>
      </c>
      <c r="CD8" s="61">
        <f>$CD$6/$CD$7</f>
        <v>4.1701085390452413</v>
      </c>
      <c r="CE8" s="29"/>
      <c r="CF8" s="29"/>
      <c r="CG8" s="44" t="s">
        <v>146</v>
      </c>
      <c r="CH8" s="63">
        <f>data!$D$11</f>
        <v>20</v>
      </c>
      <c r="CI8" s="29"/>
      <c r="CJ8" s="40" t="s">
        <v>152</v>
      </c>
      <c r="CK8" s="41">
        <f>$CK$6/$CK$7</f>
        <v>5.208333333333333</v>
      </c>
      <c r="CL8" s="41">
        <f>$CL$6/$CL$7</f>
        <v>5.6896551724137927</v>
      </c>
      <c r="CM8" s="29"/>
      <c r="CN8" s="29"/>
      <c r="CO8" s="29"/>
      <c r="CP8" s="29"/>
      <c r="CQ8" s="29"/>
      <c r="CR8" s="29"/>
      <c r="CS8" s="29"/>
    </row>
    <row r="9" spans="1:97" s="34" customFormat="1" ht="12" customHeight="1">
      <c r="A9" s="31"/>
      <c r="B9" s="31"/>
      <c r="C9" s="31"/>
      <c r="D9" s="123" t="str">
        <f>'Variable Capacity unit'!$D$9</f>
        <v>Full</v>
      </c>
      <c r="E9" s="124"/>
      <c r="F9" s="124"/>
      <c r="G9" s="125"/>
      <c r="H9" s="134">
        <v>5500</v>
      </c>
      <c r="I9" s="134"/>
      <c r="J9" s="134"/>
      <c r="K9" s="134"/>
      <c r="L9" s="134">
        <v>1520</v>
      </c>
      <c r="M9" s="134"/>
      <c r="N9" s="134"/>
      <c r="O9" s="134"/>
      <c r="P9" s="135">
        <f>$H$9/$L$9</f>
        <v>3.6184210526315788</v>
      </c>
      <c r="Q9" s="136"/>
      <c r="R9" s="31"/>
      <c r="S9" s="31"/>
      <c r="T9" s="31"/>
      <c r="U9" s="31"/>
      <c r="V9" s="31"/>
      <c r="W9" s="31"/>
      <c r="X9" s="31"/>
      <c r="Y9" s="31"/>
      <c r="Z9" s="31"/>
      <c r="AA9" s="31"/>
      <c r="AB9" s="31"/>
      <c r="AC9" s="31"/>
      <c r="AD9" s="31"/>
      <c r="AE9" s="31"/>
      <c r="AF9" s="31"/>
      <c r="AG9" s="31"/>
      <c r="AH9" s="31"/>
      <c r="AI9" s="31"/>
      <c r="AJ9" s="31"/>
      <c r="AK9" s="108" t="str">
        <f>'Variable Capacity unit'!$AK$9</f>
        <v>Full Performance</v>
      </c>
      <c r="AL9" s="108"/>
      <c r="AM9" s="108"/>
      <c r="AN9" s="108"/>
      <c r="AO9" s="108"/>
      <c r="AP9" s="129"/>
      <c r="AQ9" s="105" t="s">
        <v>44</v>
      </c>
      <c r="AR9" s="105"/>
      <c r="AS9" s="105"/>
      <c r="AT9" s="105"/>
      <c r="AU9" s="105"/>
      <c r="AV9" s="105"/>
      <c r="AW9" s="105"/>
      <c r="AX9" s="105"/>
      <c r="AY9" s="105"/>
      <c r="AZ9" s="105"/>
      <c r="BA9" s="105"/>
      <c r="BB9" s="105"/>
      <c r="BC9" s="33" t="s">
        <v>110</v>
      </c>
      <c r="BD9" s="33"/>
      <c r="BE9" s="35" t="s">
        <v>126</v>
      </c>
      <c r="BL9" s="50"/>
      <c r="BM9" s="50"/>
      <c r="CA9" s="28"/>
      <c r="CB9" s="44"/>
      <c r="CC9" s="44"/>
      <c r="CD9" s="44"/>
      <c r="CE9" s="63"/>
      <c r="CF9" s="29"/>
      <c r="CG9" s="44" t="s">
        <v>311</v>
      </c>
      <c r="CH9" s="63">
        <f>data!$D$12</f>
        <v>35</v>
      </c>
      <c r="CI9" s="29"/>
      <c r="CJ9" s="40" t="s">
        <v>96</v>
      </c>
      <c r="CK9" s="150">
        <f>(1-($CK$8/$CL$8))/(1-($CK$6/$CL$6))</f>
        <v>0.34895833333333315</v>
      </c>
      <c r="CL9" s="150"/>
      <c r="CM9" s="29"/>
      <c r="CN9" s="29"/>
      <c r="CO9" s="29"/>
      <c r="CP9" s="29"/>
      <c r="CQ9" s="29"/>
      <c r="CR9" s="29"/>
      <c r="CS9" s="29"/>
    </row>
    <row r="10" spans="1:97" s="34" customFormat="1" ht="12" customHeight="1">
      <c r="A10" s="31"/>
      <c r="B10" s="31"/>
      <c r="C10" s="31"/>
      <c r="D10" s="123" t="str">
        <f>'Variable Capacity unit'!$D$11</f>
        <v>Minimum</v>
      </c>
      <c r="E10" s="124"/>
      <c r="F10" s="124"/>
      <c r="G10" s="125"/>
      <c r="H10" s="127">
        <v>2600</v>
      </c>
      <c r="I10" s="127"/>
      <c r="J10" s="127"/>
      <c r="K10" s="127"/>
      <c r="L10" s="127">
        <v>600</v>
      </c>
      <c r="M10" s="127"/>
      <c r="N10" s="127"/>
      <c r="O10" s="127"/>
      <c r="P10" s="135">
        <f>$H$10/$L$10</f>
        <v>4.333333333333333</v>
      </c>
      <c r="Q10" s="136"/>
      <c r="R10" s="31"/>
      <c r="S10" s="31"/>
      <c r="T10" s="31"/>
      <c r="U10" s="31"/>
      <c r="V10" s="31"/>
      <c r="W10" s="31"/>
      <c r="X10" s="31"/>
      <c r="Y10" s="31"/>
      <c r="Z10" s="31"/>
      <c r="AA10" s="31"/>
      <c r="AB10" s="31"/>
      <c r="AC10" s="31"/>
      <c r="AD10" s="31"/>
      <c r="AE10" s="31"/>
      <c r="AF10" s="31"/>
      <c r="AG10" s="31"/>
      <c r="AH10" s="31"/>
      <c r="AI10" s="31"/>
      <c r="AJ10" s="31"/>
      <c r="AK10" s="108" t="str">
        <f>'Variable Capacity unit'!$AK$11</f>
        <v>Min Performance</v>
      </c>
      <c r="AL10" s="108"/>
      <c r="AM10" s="108"/>
      <c r="AN10" s="108"/>
      <c r="AO10" s="108"/>
      <c r="AP10" s="129"/>
      <c r="AQ10" s="105" t="s">
        <v>44</v>
      </c>
      <c r="AR10" s="105"/>
      <c r="AS10" s="105"/>
      <c r="AT10" s="105"/>
      <c r="AU10" s="105"/>
      <c r="AV10" s="105"/>
      <c r="AW10" s="105"/>
      <c r="AX10" s="105"/>
      <c r="AY10" s="105"/>
      <c r="AZ10" s="105"/>
      <c r="BA10" s="105"/>
      <c r="BB10" s="105"/>
      <c r="BC10" s="33" t="s">
        <v>110</v>
      </c>
      <c r="BD10" s="33"/>
      <c r="BE10" s="35" t="s">
        <v>126</v>
      </c>
      <c r="BL10" s="50"/>
      <c r="BM10" s="50"/>
      <c r="CA10" s="28"/>
      <c r="CB10" s="44"/>
      <c r="CC10" s="44" t="s">
        <v>312</v>
      </c>
      <c r="CD10" s="44" t="s">
        <v>151</v>
      </c>
      <c r="CE10" s="29"/>
      <c r="CF10" s="29"/>
      <c r="CG10" s="29"/>
      <c r="CH10" s="29"/>
      <c r="CI10" s="29"/>
      <c r="CJ10" s="29"/>
      <c r="CK10" s="29"/>
      <c r="CL10" s="29"/>
      <c r="CM10" s="29"/>
      <c r="CN10" s="29"/>
      <c r="CO10" s="29"/>
      <c r="CP10" s="29"/>
      <c r="CQ10" s="29"/>
      <c r="CR10" s="29"/>
      <c r="CS10" s="29"/>
    </row>
    <row r="11" spans="1:97" s="34" customFormat="1" ht="12" customHeight="1">
      <c r="A11" s="31"/>
      <c r="B11" s="31"/>
      <c r="C11" s="31"/>
      <c r="D11" s="31"/>
      <c r="E11" s="31"/>
      <c r="F11" s="31"/>
      <c r="G11" s="31"/>
      <c r="H11" s="31"/>
      <c r="I11" s="31"/>
      <c r="J11" s="31"/>
      <c r="K11" s="31"/>
      <c r="L11" s="31"/>
      <c r="M11" s="31"/>
      <c r="N11" s="31"/>
      <c r="O11" s="31"/>
      <c r="P11" s="31"/>
      <c r="Q11" s="31"/>
      <c r="R11" s="31"/>
      <c r="S11" s="31"/>
      <c r="T11" s="31"/>
      <c r="U11" s="31"/>
      <c r="V11" s="31"/>
      <c r="W11" s="64"/>
      <c r="X11" s="31"/>
      <c r="Y11" s="108" t="str">
        <f>data!D7</f>
        <v>International</v>
      </c>
      <c r="Z11" s="108"/>
      <c r="AA11" s="108"/>
      <c r="AB11" s="108"/>
      <c r="AC11" s="129" t="str">
        <f>data!$F$7</f>
        <v>CUSTOM</v>
      </c>
      <c r="AD11" s="130"/>
      <c r="AE11" s="130"/>
      <c r="AF11" s="131"/>
      <c r="AG11" s="31"/>
      <c r="AH11" s="31"/>
      <c r="AI11" s="31"/>
      <c r="AJ11" s="31"/>
      <c r="AK11" s="31"/>
      <c r="AL11" s="31"/>
      <c r="AM11" s="31"/>
      <c r="AN11" s="31"/>
      <c r="AO11" s="31"/>
      <c r="AP11" s="31"/>
      <c r="AQ11" s="32"/>
      <c r="AR11" s="32"/>
      <c r="AS11" s="32"/>
      <c r="AT11" s="32"/>
      <c r="AU11" s="32"/>
      <c r="AV11" s="32"/>
      <c r="AW11" s="32"/>
      <c r="AX11" s="32"/>
      <c r="AY11" s="32"/>
      <c r="AZ11" s="32"/>
      <c r="BA11" s="32"/>
      <c r="BB11" s="32"/>
      <c r="BC11" s="33"/>
      <c r="BD11" s="33"/>
      <c r="BE11" s="35" t="s">
        <v>126</v>
      </c>
      <c r="BL11" s="50"/>
      <c r="BM11" s="50"/>
      <c r="CA11" s="28"/>
      <c r="CB11" s="51" t="s">
        <v>18</v>
      </c>
      <c r="CC11" s="52">
        <f>'Two-stage Capacity unit'!$H$14</f>
        <v>5950</v>
      </c>
      <c r="CD11" s="52">
        <f>'Two-stage Capacity unit'!$H$15</f>
        <v>2850</v>
      </c>
      <c r="CE11" s="29"/>
      <c r="CF11" s="29"/>
      <c r="CG11" s="29"/>
      <c r="CH11" s="29"/>
      <c r="CI11" s="29"/>
      <c r="CJ11" s="29"/>
      <c r="CK11" s="29"/>
      <c r="CL11" s="29"/>
      <c r="CM11" s="29"/>
      <c r="CN11" s="29"/>
      <c r="CO11" s="29"/>
      <c r="CP11" s="29"/>
      <c r="CQ11" s="29"/>
      <c r="CR11" s="29"/>
      <c r="CS11" s="29"/>
    </row>
    <row r="12" spans="1:97" s="34" customFormat="1" ht="12" customHeight="1">
      <c r="A12" s="31"/>
      <c r="B12" s="31"/>
      <c r="C12" s="31"/>
      <c r="D12" s="31" t="str">
        <f>'Variable Capacity unit'!$D$13</f>
        <v>Low Temperature Condition ( 29℃ ）</v>
      </c>
      <c r="E12" s="31"/>
      <c r="F12" s="31"/>
      <c r="G12" s="31"/>
      <c r="H12" s="31"/>
      <c r="I12" s="31"/>
      <c r="J12" s="31"/>
      <c r="K12" s="31"/>
      <c r="L12" s="31"/>
      <c r="M12" s="31"/>
      <c r="N12" s="31"/>
      <c r="O12" s="31"/>
      <c r="P12" s="31"/>
      <c r="Q12" s="31"/>
      <c r="R12" s="31"/>
      <c r="S12" s="31"/>
      <c r="T12" s="31"/>
      <c r="U12" s="108" t="str">
        <f>'Variable Capacity unit'!$U$13</f>
        <v>CSTL [ kWh ]</v>
      </c>
      <c r="V12" s="108"/>
      <c r="W12" s="108"/>
      <c r="X12" s="108"/>
      <c r="Y12" s="126">
        <f>'Two-stage Capacity unit'!$CK$49/1000</f>
        <v>4032.2333333333336</v>
      </c>
      <c r="Z12" s="126"/>
      <c r="AA12" s="126"/>
      <c r="AB12" s="126"/>
      <c r="AC12" s="151">
        <f>'Two-stage Capacity unit'!CK108/1000</f>
        <v>4545.6166666666659</v>
      </c>
      <c r="AD12" s="152"/>
      <c r="AE12" s="152"/>
      <c r="AF12" s="153"/>
      <c r="AG12" s="31"/>
      <c r="AH12" s="31"/>
      <c r="AI12" s="31" t="str">
        <f>'Variable Capacity unit'!$AI$13</f>
        <v>(35℃）</v>
      </c>
      <c r="AJ12" s="31"/>
      <c r="AK12" s="109" t="str">
        <f>'Variable Capacity unit'!$AK$13</f>
        <v>Full</v>
      </c>
      <c r="AL12" s="109"/>
      <c r="AM12" s="109"/>
      <c r="AN12" s="109"/>
      <c r="AO12" s="109"/>
      <c r="AP12" s="123"/>
      <c r="AQ12" s="105" t="s">
        <v>44</v>
      </c>
      <c r="AR12" s="105"/>
      <c r="AS12" s="105"/>
      <c r="AT12" s="105"/>
      <c r="AU12" s="105"/>
      <c r="AV12" s="105"/>
      <c r="AW12" s="105"/>
      <c r="AX12" s="105"/>
      <c r="AY12" s="105"/>
      <c r="AZ12" s="105"/>
      <c r="BA12" s="105"/>
      <c r="BB12" s="105"/>
      <c r="BC12" s="33"/>
      <c r="BD12" s="33"/>
      <c r="BE12" s="35" t="s">
        <v>126</v>
      </c>
      <c r="BL12" s="84"/>
      <c r="BM12" s="84"/>
      <c r="CA12" s="28"/>
      <c r="CB12" s="51" t="s">
        <v>83</v>
      </c>
      <c r="CC12" s="52">
        <f>'Two-stage Capacity unit'!$L$14</f>
        <v>1400</v>
      </c>
      <c r="CD12" s="52">
        <f>'Two-stage Capacity unit'!$L$15</f>
        <v>580</v>
      </c>
      <c r="CE12" s="29"/>
      <c r="CF12" s="29"/>
      <c r="CG12" s="29"/>
      <c r="CH12" s="29"/>
      <c r="CI12" s="29"/>
      <c r="CJ12" s="29"/>
      <c r="CK12" s="29"/>
      <c r="CL12" s="29"/>
      <c r="CM12" s="29"/>
      <c r="CN12" s="29"/>
      <c r="CO12" s="29"/>
      <c r="CP12" s="29"/>
      <c r="CQ12" s="29"/>
      <c r="CR12" s="29"/>
      <c r="CS12" s="29"/>
    </row>
    <row r="13" spans="1:97" s="34" customFormat="1" ht="12" customHeight="1">
      <c r="A13" s="31"/>
      <c r="B13" s="31"/>
      <c r="C13" s="31"/>
      <c r="D13" s="31"/>
      <c r="E13" s="31"/>
      <c r="F13" s="31"/>
      <c r="G13" s="31"/>
      <c r="H13" s="154" t="str">
        <f>'Variable Capacity unit'!$H$8</f>
        <v>Capacity [W]</v>
      </c>
      <c r="I13" s="154"/>
      <c r="J13" s="154"/>
      <c r="K13" s="154"/>
      <c r="L13" s="154" t="str">
        <f>'Variable Capacity unit'!$L$8</f>
        <v>Power [W]</v>
      </c>
      <c r="M13" s="154"/>
      <c r="N13" s="154"/>
      <c r="O13" s="154"/>
      <c r="P13" s="103" t="str">
        <f>'Variable Capacity unit'!$P$8</f>
        <v>EER</v>
      </c>
      <c r="Q13" s="104"/>
      <c r="R13" s="31"/>
      <c r="S13" s="31"/>
      <c r="T13" s="31"/>
      <c r="U13" s="108" t="str">
        <f>'Variable Capacity unit'!$U$14</f>
        <v>CSEC [ kWh ]</v>
      </c>
      <c r="V13" s="108"/>
      <c r="W13" s="108"/>
      <c r="X13" s="108"/>
      <c r="Y13" s="126">
        <f>'Two-stage Capacity unit'!$CS$49/1000</f>
        <v>848.90459584864334</v>
      </c>
      <c r="Z13" s="126"/>
      <c r="AA13" s="126"/>
      <c r="AB13" s="126"/>
      <c r="AC13" s="151">
        <f>'Two-stage Capacity unit'!CS108/1000</f>
        <v>977.70881467038998</v>
      </c>
      <c r="AD13" s="152"/>
      <c r="AE13" s="152"/>
      <c r="AF13" s="153"/>
      <c r="AG13" s="31"/>
      <c r="AH13" s="31"/>
      <c r="AI13" s="31"/>
      <c r="AJ13" s="31"/>
      <c r="AK13" s="109" t="str">
        <f>'Variable Capacity unit'!$AK$15</f>
        <v>Minimum</v>
      </c>
      <c r="AL13" s="109"/>
      <c r="AM13" s="109"/>
      <c r="AN13" s="109"/>
      <c r="AO13" s="109"/>
      <c r="AP13" s="123"/>
      <c r="AQ13" s="57"/>
      <c r="AR13" s="101" t="s">
        <v>108</v>
      </c>
      <c r="AS13" s="101"/>
      <c r="AT13" s="101"/>
      <c r="AU13" s="101"/>
      <c r="AV13" s="102"/>
      <c r="AW13" s="57"/>
      <c r="AX13" s="161" t="s">
        <v>109</v>
      </c>
      <c r="AY13" s="161"/>
      <c r="AZ13" s="161"/>
      <c r="BA13" s="161"/>
      <c r="BB13" s="162"/>
      <c r="BC13" s="81">
        <v>1</v>
      </c>
      <c r="BD13" s="33" t="str">
        <f>IF($BC$7=2,IF($BC$13=2,"Measure","Default"),"Default")</f>
        <v>Default</v>
      </c>
      <c r="BE13" s="35" t="s">
        <v>126</v>
      </c>
      <c r="BL13" s="84"/>
      <c r="BM13" s="84"/>
      <c r="CA13" s="28"/>
      <c r="CB13" s="44" t="s">
        <v>313</v>
      </c>
      <c r="CC13" s="61">
        <f>$CC$11/$CC$12</f>
        <v>4.25</v>
      </c>
      <c r="CD13" s="61">
        <f>$CD$11/$CD$12</f>
        <v>4.9137931034482758</v>
      </c>
      <c r="CE13" s="29"/>
      <c r="CF13" s="29"/>
      <c r="CG13" s="29"/>
      <c r="CH13" s="29"/>
      <c r="CI13" s="29"/>
      <c r="CJ13" s="29"/>
      <c r="CK13" s="29"/>
      <c r="CL13" s="29"/>
      <c r="CM13" s="29"/>
      <c r="CN13" s="29"/>
      <c r="CO13" s="29"/>
      <c r="CP13" s="29"/>
      <c r="CQ13" s="29"/>
      <c r="CR13" s="29"/>
      <c r="CS13" s="29"/>
    </row>
    <row r="14" spans="1:97" s="34" customFormat="1" ht="12" customHeight="1">
      <c r="A14" s="31"/>
      <c r="B14" s="31"/>
      <c r="C14" s="31"/>
      <c r="D14" s="123" t="str">
        <f>'Variable Capacity unit'!$D$15</f>
        <v>Full</v>
      </c>
      <c r="E14" s="124"/>
      <c r="F14" s="124"/>
      <c r="G14" s="125"/>
      <c r="H14" s="134">
        <v>5950</v>
      </c>
      <c r="I14" s="134"/>
      <c r="J14" s="134"/>
      <c r="K14" s="134"/>
      <c r="L14" s="134">
        <v>1400</v>
      </c>
      <c r="M14" s="134"/>
      <c r="N14" s="134"/>
      <c r="O14" s="134"/>
      <c r="P14" s="111">
        <f>$H$14/$L$14</f>
        <v>4.25</v>
      </c>
      <c r="Q14" s="111"/>
      <c r="R14" s="31"/>
      <c r="S14" s="31"/>
      <c r="T14" s="31"/>
      <c r="U14" s="108" t="str">
        <f>'Variable Capacity unit'!$U$15</f>
        <v>CSPF</v>
      </c>
      <c r="V14" s="108"/>
      <c r="W14" s="108"/>
      <c r="X14" s="108"/>
      <c r="Y14" s="111">
        <f>'Two-stage Capacity unit'!$CF$3</f>
        <v>4.7499252013146904</v>
      </c>
      <c r="Z14" s="111"/>
      <c r="AA14" s="111"/>
      <c r="AB14" s="111"/>
      <c r="AC14" s="142">
        <f>'Two-stage Capacity unit'!CF62</f>
        <v>4.6492540503474</v>
      </c>
      <c r="AD14" s="130"/>
      <c r="AE14" s="130"/>
      <c r="AF14" s="131"/>
      <c r="AG14" s="31"/>
      <c r="AH14" s="31"/>
      <c r="AI14" s="31"/>
      <c r="AJ14" s="31"/>
      <c r="AK14" s="31"/>
      <c r="AL14" s="31"/>
      <c r="AM14" s="31"/>
      <c r="AN14" s="31"/>
      <c r="AO14" s="31"/>
      <c r="AP14" s="31"/>
      <c r="AQ14" s="32"/>
      <c r="AR14" s="32"/>
      <c r="AS14" s="32"/>
      <c r="AT14" s="32"/>
      <c r="AU14" s="32"/>
      <c r="AV14" s="32"/>
      <c r="AW14" s="32"/>
      <c r="AX14" s="32"/>
      <c r="AY14" s="32"/>
      <c r="AZ14" s="32"/>
      <c r="BA14" s="32"/>
      <c r="BB14" s="32"/>
      <c r="BC14" s="33"/>
      <c r="BD14" s="33"/>
      <c r="BE14" s="35" t="s">
        <v>126</v>
      </c>
      <c r="BL14" s="50"/>
      <c r="BM14" s="50"/>
      <c r="CA14" s="28"/>
      <c r="CB14" s="44"/>
      <c r="CC14" s="44"/>
      <c r="CD14" s="44"/>
      <c r="CE14" s="29"/>
      <c r="CF14" s="29"/>
      <c r="CG14" s="29"/>
      <c r="CH14" s="29"/>
      <c r="CI14" s="29"/>
      <c r="CJ14" s="29"/>
      <c r="CK14" s="29"/>
      <c r="CL14" s="29"/>
      <c r="CM14" s="29"/>
      <c r="CN14" s="29"/>
      <c r="CO14" s="29"/>
      <c r="CP14" s="29"/>
      <c r="CQ14" s="29"/>
      <c r="CR14" s="29"/>
      <c r="CS14" s="29"/>
    </row>
    <row r="15" spans="1:97" s="34" customFormat="1" ht="12" customHeight="1">
      <c r="A15" s="31"/>
      <c r="B15" s="31"/>
      <c r="C15" s="31"/>
      <c r="D15" s="123" t="str">
        <f>'Variable Capacity unit'!$D$17</f>
        <v>Minimum</v>
      </c>
      <c r="E15" s="124"/>
      <c r="F15" s="124"/>
      <c r="G15" s="125"/>
      <c r="H15" s="134">
        <v>2850</v>
      </c>
      <c r="I15" s="134"/>
      <c r="J15" s="134"/>
      <c r="K15" s="134"/>
      <c r="L15" s="134">
        <v>580</v>
      </c>
      <c r="M15" s="134"/>
      <c r="N15" s="134"/>
      <c r="O15" s="134"/>
      <c r="P15" s="111">
        <f>$H$15/$L$15</f>
        <v>4.9137931034482758</v>
      </c>
      <c r="Q15" s="111"/>
      <c r="R15" s="31"/>
      <c r="S15" s="31"/>
      <c r="T15" s="31"/>
      <c r="U15" s="31"/>
      <c r="V15" s="31"/>
      <c r="W15" s="31"/>
      <c r="X15" s="31"/>
      <c r="Y15" s="31"/>
      <c r="Z15" s="31"/>
      <c r="AA15" s="31"/>
      <c r="AB15" s="31"/>
      <c r="AC15" s="31"/>
      <c r="AD15" s="31"/>
      <c r="AE15" s="31"/>
      <c r="AF15" s="31"/>
      <c r="AG15" s="31"/>
      <c r="AH15" s="31"/>
      <c r="AI15" s="31" t="str">
        <f>'Variable Capacity unit'!$AI$16</f>
        <v>(29℃）</v>
      </c>
      <c r="AJ15" s="31"/>
      <c r="AK15" s="109" t="str">
        <f>'Variable Capacity unit'!$AK$16</f>
        <v>Full</v>
      </c>
      <c r="AL15" s="109"/>
      <c r="AM15" s="109"/>
      <c r="AN15" s="109"/>
      <c r="AO15" s="109"/>
      <c r="AP15" s="123"/>
      <c r="AQ15" s="105" t="s">
        <v>44</v>
      </c>
      <c r="AR15" s="105"/>
      <c r="AS15" s="105"/>
      <c r="AT15" s="105"/>
      <c r="AU15" s="105"/>
      <c r="AV15" s="105"/>
      <c r="AW15" s="105"/>
      <c r="AX15" s="105"/>
      <c r="AY15" s="105"/>
      <c r="AZ15" s="105"/>
      <c r="BA15" s="105"/>
      <c r="BB15" s="105"/>
      <c r="BC15" s="33"/>
      <c r="BD15" s="33"/>
      <c r="BE15" s="35" t="s">
        <v>126</v>
      </c>
      <c r="BL15" s="84"/>
      <c r="BM15" s="84"/>
      <c r="BN15" s="84"/>
      <c r="BO15" s="84"/>
      <c r="BP15" s="84"/>
      <c r="BQ15" s="84"/>
      <c r="CA15" s="28"/>
      <c r="CB15" s="97" t="s">
        <v>5</v>
      </c>
      <c r="CC15" s="98" t="s">
        <v>7</v>
      </c>
      <c r="CD15" s="97" t="s">
        <v>8</v>
      </c>
      <c r="CE15" s="66" t="s">
        <v>9</v>
      </c>
      <c r="CF15" s="66" t="s">
        <v>10</v>
      </c>
      <c r="CG15" s="99" t="s">
        <v>20</v>
      </c>
      <c r="CH15" s="99"/>
      <c r="CI15" s="99" t="s">
        <v>11</v>
      </c>
      <c r="CJ15" s="99"/>
      <c r="CK15" s="67" t="s">
        <v>2</v>
      </c>
      <c r="CL15" s="99" t="s">
        <v>13</v>
      </c>
      <c r="CM15" s="99"/>
      <c r="CN15" s="99" t="s">
        <v>16</v>
      </c>
      <c r="CO15" s="99"/>
      <c r="CP15" s="99" t="s">
        <v>64</v>
      </c>
      <c r="CQ15" s="99"/>
      <c r="CR15" s="99"/>
      <c r="CS15" s="67" t="s">
        <v>3</v>
      </c>
    </row>
    <row r="16" spans="1:97" s="34" customFormat="1" ht="12" customHeight="1">
      <c r="A16" s="31"/>
      <c r="B16" s="31"/>
      <c r="C16" s="31"/>
      <c r="D16" s="31"/>
      <c r="E16" s="31"/>
      <c r="F16" s="31"/>
      <c r="G16" s="31"/>
      <c r="H16" s="31"/>
      <c r="I16" s="31"/>
      <c r="J16" s="31"/>
      <c r="K16" s="31"/>
      <c r="L16" s="31"/>
      <c r="M16" s="31"/>
      <c r="N16" s="31"/>
      <c r="O16" s="31"/>
      <c r="P16" s="31"/>
      <c r="Q16" s="31"/>
      <c r="R16" s="31"/>
      <c r="S16" s="31"/>
      <c r="T16" s="31"/>
      <c r="U16" s="108" t="str">
        <f>'Variable Capacity unit'!$U$17</f>
        <v>CD</v>
      </c>
      <c r="V16" s="108"/>
      <c r="W16" s="108"/>
      <c r="X16" s="108"/>
      <c r="Y16" s="147">
        <f>'Two-stage Capacity unit'!$CH$5</f>
        <v>0.25</v>
      </c>
      <c r="Z16" s="147"/>
      <c r="AA16" s="147"/>
      <c r="AB16" s="147"/>
      <c r="AC16" s="142">
        <f>'Two-stage Capacity unit'!CH64</f>
        <v>0.25</v>
      </c>
      <c r="AD16" s="130"/>
      <c r="AE16" s="130"/>
      <c r="AF16" s="131"/>
      <c r="AG16" s="31"/>
      <c r="AH16" s="31"/>
      <c r="AI16" s="31"/>
      <c r="AJ16" s="31"/>
      <c r="AK16" s="109" t="str">
        <f>'Variable Capacity unit'!$AK$18</f>
        <v>Minimum</v>
      </c>
      <c r="AL16" s="109"/>
      <c r="AM16" s="109"/>
      <c r="AN16" s="109"/>
      <c r="AO16" s="109"/>
      <c r="AP16" s="123"/>
      <c r="AQ16" s="105" t="s">
        <v>44</v>
      </c>
      <c r="AR16" s="105"/>
      <c r="AS16" s="105"/>
      <c r="AT16" s="105"/>
      <c r="AU16" s="105"/>
      <c r="AV16" s="105"/>
      <c r="AW16" s="105"/>
      <c r="AX16" s="105"/>
      <c r="AY16" s="105"/>
      <c r="AZ16" s="105"/>
      <c r="BA16" s="105"/>
      <c r="BB16" s="105"/>
      <c r="BC16" s="33"/>
      <c r="BD16" s="33"/>
      <c r="BE16" s="35" t="s">
        <v>126</v>
      </c>
      <c r="BL16" s="84"/>
      <c r="BM16" s="84"/>
      <c r="BN16" s="84"/>
      <c r="BO16" s="84"/>
      <c r="BP16" s="84"/>
      <c r="BQ16" s="84"/>
      <c r="CA16" s="29"/>
      <c r="CB16" s="97"/>
      <c r="CC16" s="98"/>
      <c r="CD16" s="97"/>
      <c r="CE16" s="67" t="s">
        <v>153</v>
      </c>
      <c r="CF16" s="96" t="s">
        <v>314</v>
      </c>
      <c r="CG16" s="96" t="s">
        <v>315</v>
      </c>
      <c r="CH16" s="96" t="s">
        <v>316</v>
      </c>
      <c r="CI16" s="68" t="s">
        <v>4</v>
      </c>
      <c r="CJ16" s="68" t="s">
        <v>12</v>
      </c>
      <c r="CK16" s="96" t="s">
        <v>317</v>
      </c>
      <c r="CL16" s="68" t="s">
        <v>4</v>
      </c>
      <c r="CM16" s="68" t="s">
        <v>12</v>
      </c>
      <c r="CN16" s="68" t="s">
        <v>4</v>
      </c>
      <c r="CO16" s="68" t="s">
        <v>98</v>
      </c>
      <c r="CP16" s="68" t="s">
        <v>318</v>
      </c>
      <c r="CQ16" s="68" t="s">
        <v>319</v>
      </c>
      <c r="CR16" s="68" t="s">
        <v>84</v>
      </c>
      <c r="CS16" s="96" t="s">
        <v>197</v>
      </c>
    </row>
    <row r="17" spans="1:97" s="34" customFormat="1" ht="12" customHeight="1">
      <c r="A17" s="31"/>
      <c r="B17" s="31"/>
      <c r="C17" s="31"/>
      <c r="D17" s="31" t="str">
        <f>'Variable Capacity unit'!$D$19</f>
        <v>Low humidity and Cyclic condition (29℃)</v>
      </c>
      <c r="E17" s="31"/>
      <c r="F17" s="31"/>
      <c r="G17" s="31"/>
      <c r="H17" s="31"/>
      <c r="I17" s="31"/>
      <c r="J17" s="31"/>
      <c r="K17" s="31"/>
      <c r="L17" s="31"/>
      <c r="M17" s="31"/>
      <c r="N17" s="31"/>
      <c r="O17" s="31"/>
      <c r="P17" s="31"/>
      <c r="Q17" s="31"/>
      <c r="R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2"/>
      <c r="AR17" s="32"/>
      <c r="AS17" s="32"/>
      <c r="AT17" s="32"/>
      <c r="AU17" s="32"/>
      <c r="AV17" s="32"/>
      <c r="AW17" s="32"/>
      <c r="AX17" s="32"/>
      <c r="AY17" s="32"/>
      <c r="AZ17" s="32"/>
      <c r="BA17" s="32"/>
      <c r="BB17" s="32"/>
      <c r="BC17" s="33"/>
      <c r="BD17" s="33"/>
      <c r="BE17" s="35" t="s">
        <v>126</v>
      </c>
      <c r="BL17" s="50"/>
      <c r="BM17" s="50"/>
      <c r="BN17" s="50"/>
      <c r="BO17" s="50"/>
      <c r="BP17" s="50"/>
      <c r="BQ17" s="50"/>
      <c r="CA17" s="29"/>
      <c r="CB17" s="63" t="s">
        <v>6</v>
      </c>
      <c r="CC17" s="63" t="s">
        <v>252</v>
      </c>
      <c r="CD17" s="63" t="s">
        <v>160</v>
      </c>
      <c r="CE17" s="68" t="s">
        <v>15</v>
      </c>
      <c r="CF17" s="99"/>
      <c r="CG17" s="99"/>
      <c r="CH17" s="99"/>
      <c r="CI17" s="67" t="s">
        <v>320</v>
      </c>
      <c r="CJ17" s="67" t="s">
        <v>278</v>
      </c>
      <c r="CK17" s="96"/>
      <c r="CL17" s="67" t="s">
        <v>321</v>
      </c>
      <c r="CM17" s="67" t="s">
        <v>173</v>
      </c>
      <c r="CN17" s="67" t="s">
        <v>322</v>
      </c>
      <c r="CO17" s="67" t="s">
        <v>323</v>
      </c>
      <c r="CP17" s="67" t="s">
        <v>173</v>
      </c>
      <c r="CQ17" s="67" t="s">
        <v>324</v>
      </c>
      <c r="CR17" s="67" t="s">
        <v>321</v>
      </c>
      <c r="CS17" s="96"/>
    </row>
    <row r="18" spans="1:97" s="34" customFormat="1" ht="12" customHeight="1">
      <c r="A18" s="31"/>
      <c r="B18" s="31"/>
      <c r="C18" s="31"/>
      <c r="D18" s="31"/>
      <c r="E18" s="31"/>
      <c r="F18" s="31"/>
      <c r="G18" s="31"/>
      <c r="H18" s="154" t="str">
        <f>'Variable Capacity unit'!$H$8</f>
        <v>Capacity [W]</v>
      </c>
      <c r="I18" s="154"/>
      <c r="J18" s="154"/>
      <c r="K18" s="154"/>
      <c r="L18" s="154" t="str">
        <f>'Variable Capacity unit'!$L$8</f>
        <v>Power [W]</v>
      </c>
      <c r="M18" s="154"/>
      <c r="N18" s="154"/>
      <c r="O18" s="154"/>
      <c r="P18" s="103" t="str">
        <f>'Variable Capacity unit'!$P$8</f>
        <v>EER</v>
      </c>
      <c r="Q18" s="104"/>
      <c r="R18" s="31"/>
      <c r="S18" s="31"/>
      <c r="T18" s="31"/>
      <c r="U18" s="31"/>
      <c r="V18" s="31"/>
      <c r="W18" s="31"/>
      <c r="X18" s="31"/>
      <c r="Y18" s="31"/>
      <c r="Z18" s="31"/>
      <c r="AA18" s="31"/>
      <c r="AB18" s="31"/>
      <c r="AC18" s="31"/>
      <c r="AD18" s="31"/>
      <c r="AE18" s="31"/>
      <c r="AF18" s="31"/>
      <c r="AG18" s="31"/>
      <c r="AH18" s="31"/>
      <c r="AI18" s="31" t="str">
        <f>'Variable Capacity unit'!$AI$21</f>
        <v>(29℃ Low Humidity and cyclic)</v>
      </c>
      <c r="AJ18" s="31"/>
      <c r="AK18" s="31"/>
      <c r="AL18" s="31"/>
      <c r="AM18" s="31"/>
      <c r="AN18" s="31"/>
      <c r="AO18" s="31"/>
      <c r="AP18" s="31"/>
      <c r="AQ18" s="32"/>
      <c r="AR18" s="32"/>
      <c r="AS18" s="32"/>
      <c r="AT18" s="32"/>
      <c r="AU18" s="32"/>
      <c r="AV18" s="32"/>
      <c r="AW18" s="32"/>
      <c r="AX18" s="32"/>
      <c r="AY18" s="32"/>
      <c r="AZ18" s="32"/>
      <c r="BA18" s="32"/>
      <c r="BB18" s="32"/>
      <c r="BC18" s="33"/>
      <c r="BD18" s="33"/>
      <c r="BE18" s="35" t="s">
        <v>126</v>
      </c>
      <c r="BL18" s="50"/>
      <c r="BM18" s="50"/>
      <c r="BN18" s="50"/>
      <c r="BO18" s="50"/>
      <c r="BP18" s="50"/>
      <c r="BQ18" s="50"/>
      <c r="CA18" s="29"/>
      <c r="CB18" s="63">
        <v>1</v>
      </c>
      <c r="CC18" s="63">
        <f>data!$D22</f>
        <v>15</v>
      </c>
      <c r="CD18" s="63">
        <f>data!$E22</f>
        <v>0</v>
      </c>
      <c r="CE18" s="70">
        <f t="shared" ref="CE18:CE48" si="0">IF($CC$3*($CC18-$CH$8)/($CH$9-$CH$8)&lt;0,0,$CC$3*($CC18-$CH$8)/($CH$9-$CH$8))</f>
        <v>0</v>
      </c>
      <c r="CF18" s="71">
        <f t="shared" ref="CF18:CF48" si="1">1-$CH$5*(1-$CG18)</f>
        <v>0.75</v>
      </c>
      <c r="CG18" s="71">
        <f t="shared" ref="CG18:CG48" si="2">IF($CE18&lt;$CJ18,$CE18/$CJ18,1)</f>
        <v>0</v>
      </c>
      <c r="CH18" s="71">
        <f t="shared" ref="CH18:CH48" si="3">IF(($CI18-$CE18)/($CI18-$CJ18)&gt;1,1,IF(($CI18-$CE18)/($CI18-$CJ18)&lt;0,0,($CI18-$CE18)/($CI18-$CJ18)))</f>
        <v>1</v>
      </c>
      <c r="CI18" s="72">
        <f t="shared" ref="CI18:CI48" si="4">$CC$6+($CC$11-$CC$6)/(35-29)*(35-$CC18)</f>
        <v>7000</v>
      </c>
      <c r="CJ18" s="72">
        <f t="shared" ref="CJ18:CJ48" si="5">$CD$6+($CD$11-$CD$6)/(35-29)*(35-$CC18)</f>
        <v>3325.4410399257195</v>
      </c>
      <c r="CK18" s="70">
        <f t="shared" ref="CK18:CK48" si="6">IF($CE18&lt;$CI18,$CE18*$CD18,$CI18*$CD18)</f>
        <v>0</v>
      </c>
      <c r="CL18" s="72">
        <f t="shared" ref="CL18:CL48" si="7">$CC$7+($CC$12-$CC$7)/(35-29)*(35-$CC18)</f>
        <v>1120</v>
      </c>
      <c r="CM18" s="72">
        <f t="shared" ref="CM18:CM48" si="8">$CD$7+($CD$12-$CD$7)/(35-29)*(35-$CC18)</f>
        <v>452.66229029905196</v>
      </c>
      <c r="CN18" s="45">
        <f t="shared" ref="CN18:CN48" si="9">$CI18/$CL18</f>
        <v>6.25</v>
      </c>
      <c r="CO18" s="45">
        <f t="shared" ref="CO18:CO48" si="10">$CJ18/$CM18</f>
        <v>7.3464061645796965</v>
      </c>
      <c r="CP18" s="72">
        <f t="shared" ref="CP18:CP48" si="11">IF($CE18&lt;=$CJ18,$CG18*$CM18/$CF18,0)</f>
        <v>0</v>
      </c>
      <c r="CQ18" s="72">
        <f t="shared" ref="CQ18:CQ48" si="12">IF($CJ18&lt;$CE18,IF($CE18&lt;=$CI18,$CH18*$CM18+(1-$CH18)*$CL18,0),0)</f>
        <v>0</v>
      </c>
      <c r="CR18" s="72">
        <f t="shared" ref="CR18:CR48" si="13">IF($CE18&gt;$CI18,$CL18,0)</f>
        <v>0</v>
      </c>
      <c r="CS18" s="70">
        <f t="shared" ref="CS18:CS48" si="14">IF($CF18=0,0,$CP18*$CD18+$CQ18*$CD18+$CR18*$CD18)</f>
        <v>0</v>
      </c>
    </row>
    <row r="19" spans="1:97" s="34" customFormat="1" ht="12" customHeight="1">
      <c r="A19" s="31"/>
      <c r="B19" s="31"/>
      <c r="C19" s="31"/>
      <c r="D19" s="108" t="str">
        <f>'Variable Capacity unit'!$D$23</f>
        <v>Min Dry Coil</v>
      </c>
      <c r="E19" s="108"/>
      <c r="F19" s="108"/>
      <c r="G19" s="108"/>
      <c r="H19" s="140">
        <v>3300</v>
      </c>
      <c r="I19" s="140"/>
      <c r="J19" s="140"/>
      <c r="K19" s="140"/>
      <c r="L19" s="140">
        <v>580</v>
      </c>
      <c r="M19" s="140"/>
      <c r="N19" s="140"/>
      <c r="O19" s="140"/>
      <c r="P19" s="147">
        <f>$H$19/$L$19</f>
        <v>5.6896551724137927</v>
      </c>
      <c r="Q19" s="147"/>
      <c r="R19" s="31"/>
      <c r="S19" s="31"/>
      <c r="T19" s="31"/>
      <c r="U19" s="31"/>
      <c r="V19" s="31"/>
      <c r="W19" s="31"/>
      <c r="X19" s="31"/>
      <c r="Y19" s="31"/>
      <c r="Z19" s="31"/>
      <c r="AA19" s="31"/>
      <c r="AB19" s="31"/>
      <c r="AC19" s="31"/>
      <c r="AD19" s="31"/>
      <c r="AE19" s="31"/>
      <c r="AF19" s="31"/>
      <c r="AG19" s="31"/>
      <c r="AH19" s="31"/>
      <c r="AI19" s="31"/>
      <c r="AJ19" s="31"/>
      <c r="AK19" s="108" t="str">
        <f>'Variable Capacity unit'!$AK$24</f>
        <v>Min Dry Coil</v>
      </c>
      <c r="AL19" s="108"/>
      <c r="AM19" s="108"/>
      <c r="AN19" s="108"/>
      <c r="AO19" s="108"/>
      <c r="AP19" s="129"/>
      <c r="AQ19" s="69"/>
      <c r="AR19" s="157" t="s">
        <v>108</v>
      </c>
      <c r="AS19" s="157"/>
      <c r="AT19" s="157"/>
      <c r="AU19" s="157"/>
      <c r="AV19" s="158"/>
      <c r="AW19" s="69"/>
      <c r="AX19" s="157" t="s">
        <v>109</v>
      </c>
      <c r="AY19" s="157"/>
      <c r="AZ19" s="157"/>
      <c r="BA19" s="157"/>
      <c r="BB19" s="158"/>
      <c r="BC19" s="81">
        <v>1</v>
      </c>
      <c r="BD19" s="33" t="str">
        <f>IF($BC$7=2,IF($BC$19=2,"Measure","Default"),"Default")</f>
        <v>Default</v>
      </c>
      <c r="BE19" s="35" t="s">
        <v>126</v>
      </c>
      <c r="BL19" s="50"/>
      <c r="BM19" s="50"/>
      <c r="BN19" s="50"/>
      <c r="BO19" s="50"/>
      <c r="BP19" s="50"/>
      <c r="BQ19" s="50"/>
      <c r="CA19" s="29"/>
      <c r="CB19" s="63">
        <v>2</v>
      </c>
      <c r="CC19" s="63">
        <f>data!$D23</f>
        <v>16</v>
      </c>
      <c r="CD19" s="63">
        <f>data!$E23</f>
        <v>0</v>
      </c>
      <c r="CE19" s="70">
        <f t="shared" si="0"/>
        <v>0</v>
      </c>
      <c r="CF19" s="71">
        <f t="shared" si="1"/>
        <v>0.75</v>
      </c>
      <c r="CG19" s="71">
        <f t="shared" si="2"/>
        <v>0</v>
      </c>
      <c r="CH19" s="71">
        <f t="shared" si="3"/>
        <v>1</v>
      </c>
      <c r="CI19" s="72">
        <f t="shared" si="4"/>
        <v>6925</v>
      </c>
      <c r="CJ19" s="72">
        <f t="shared" si="5"/>
        <v>3291.4809656453108</v>
      </c>
      <c r="CK19" s="70">
        <f t="shared" si="6"/>
        <v>0</v>
      </c>
      <c r="CL19" s="72">
        <f t="shared" si="7"/>
        <v>1140</v>
      </c>
      <c r="CM19" s="72">
        <f t="shared" si="8"/>
        <v>461.75784099197682</v>
      </c>
      <c r="CN19" s="45">
        <f t="shared" si="9"/>
        <v>6.0745614035087723</v>
      </c>
      <c r="CO19" s="45">
        <f t="shared" si="10"/>
        <v>7.1281539227885062</v>
      </c>
      <c r="CP19" s="72">
        <f t="shared" si="11"/>
        <v>0</v>
      </c>
      <c r="CQ19" s="72">
        <f t="shared" si="12"/>
        <v>0</v>
      </c>
      <c r="CR19" s="72">
        <f t="shared" si="13"/>
        <v>0</v>
      </c>
      <c r="CS19" s="70">
        <f t="shared" si="14"/>
        <v>0</v>
      </c>
    </row>
    <row r="20" spans="1:97" s="34" customFormat="1" ht="12" customHeight="1">
      <c r="A20" s="31"/>
      <c r="B20" s="31"/>
      <c r="C20" s="31"/>
      <c r="D20" s="108" t="str">
        <f>'Variable Capacity unit'!$D$24</f>
        <v>Min Cyclic</v>
      </c>
      <c r="E20" s="108"/>
      <c r="F20" s="108"/>
      <c r="G20" s="108"/>
      <c r="H20" s="140">
        <v>2500</v>
      </c>
      <c r="I20" s="140"/>
      <c r="J20" s="140"/>
      <c r="K20" s="140"/>
      <c r="L20" s="140">
        <v>480</v>
      </c>
      <c r="M20" s="140"/>
      <c r="N20" s="140"/>
      <c r="O20" s="140"/>
      <c r="P20" s="147">
        <f>$H$20/$L$20</f>
        <v>5.208333333333333</v>
      </c>
      <c r="Q20" s="147"/>
      <c r="R20" s="31"/>
      <c r="S20" s="31"/>
      <c r="T20" s="31"/>
      <c r="U20" s="31"/>
      <c r="V20" s="31"/>
      <c r="W20" s="31"/>
      <c r="X20" s="31"/>
      <c r="Y20" s="31"/>
      <c r="Z20" s="31"/>
      <c r="AA20" s="31"/>
      <c r="AB20" s="31"/>
      <c r="AC20" s="31"/>
      <c r="AD20" s="31"/>
      <c r="AE20" s="31"/>
      <c r="AF20" s="31"/>
      <c r="AG20" s="31"/>
      <c r="AH20" s="31"/>
      <c r="AI20" s="31"/>
      <c r="AJ20" s="31"/>
      <c r="AK20" s="108" t="str">
        <f>'Variable Capacity unit'!$AK$25</f>
        <v>Min Cyclic</v>
      </c>
      <c r="AL20" s="108"/>
      <c r="AM20" s="108"/>
      <c r="AN20" s="108"/>
      <c r="AO20" s="108"/>
      <c r="AP20" s="129"/>
      <c r="AQ20" s="85"/>
      <c r="AR20" s="159"/>
      <c r="AS20" s="159"/>
      <c r="AT20" s="159"/>
      <c r="AU20" s="159"/>
      <c r="AV20" s="160"/>
      <c r="AW20" s="85"/>
      <c r="AX20" s="159"/>
      <c r="AY20" s="159"/>
      <c r="AZ20" s="159"/>
      <c r="BA20" s="159"/>
      <c r="BB20" s="160"/>
      <c r="BC20" s="33"/>
      <c r="BD20" s="33"/>
      <c r="BE20" s="35" t="s">
        <v>126</v>
      </c>
      <c r="BL20" s="50"/>
      <c r="BM20" s="50"/>
      <c r="BN20" s="50"/>
      <c r="BO20" s="50"/>
      <c r="BP20" s="50"/>
      <c r="BQ20" s="50"/>
      <c r="CA20" s="29"/>
      <c r="CB20" s="63">
        <v>3</v>
      </c>
      <c r="CC20" s="63">
        <f>data!$D24</f>
        <v>17</v>
      </c>
      <c r="CD20" s="63">
        <f>data!$E24</f>
        <v>0</v>
      </c>
      <c r="CE20" s="70">
        <f t="shared" si="0"/>
        <v>0</v>
      </c>
      <c r="CF20" s="71">
        <f t="shared" si="1"/>
        <v>0.75</v>
      </c>
      <c r="CG20" s="71">
        <f t="shared" si="2"/>
        <v>0</v>
      </c>
      <c r="CH20" s="71">
        <f t="shared" si="3"/>
        <v>1</v>
      </c>
      <c r="CI20" s="72">
        <f t="shared" si="4"/>
        <v>6850</v>
      </c>
      <c r="CJ20" s="72">
        <f t="shared" si="5"/>
        <v>3257.5208913649021</v>
      </c>
      <c r="CK20" s="70">
        <f t="shared" si="6"/>
        <v>0</v>
      </c>
      <c r="CL20" s="72">
        <f t="shared" si="7"/>
        <v>1160</v>
      </c>
      <c r="CM20" s="72">
        <f t="shared" si="8"/>
        <v>470.85339168490168</v>
      </c>
      <c r="CN20" s="45">
        <f t="shared" si="9"/>
        <v>5.9051724137931032</v>
      </c>
      <c r="CO20" s="45">
        <f t="shared" si="10"/>
        <v>6.9183337083082064</v>
      </c>
      <c r="CP20" s="72">
        <f t="shared" si="11"/>
        <v>0</v>
      </c>
      <c r="CQ20" s="72">
        <f t="shared" si="12"/>
        <v>0</v>
      </c>
      <c r="CR20" s="72">
        <f t="shared" si="13"/>
        <v>0</v>
      </c>
      <c r="CS20" s="70">
        <f t="shared" si="14"/>
        <v>0</v>
      </c>
    </row>
    <row r="21" spans="1:97" s="34" customFormat="1" ht="12" customHeight="1">
      <c r="A21" s="31"/>
      <c r="B21" s="31"/>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2"/>
      <c r="BB21" s="32"/>
      <c r="BC21" s="33"/>
      <c r="BD21" s="33"/>
      <c r="BE21" s="35" t="s">
        <v>126</v>
      </c>
      <c r="CA21" s="29"/>
      <c r="CB21" s="63">
        <v>4</v>
      </c>
      <c r="CC21" s="63">
        <f>data!$D25</f>
        <v>18</v>
      </c>
      <c r="CD21" s="63">
        <f>data!$E25</f>
        <v>0</v>
      </c>
      <c r="CE21" s="70">
        <f t="shared" si="0"/>
        <v>0</v>
      </c>
      <c r="CF21" s="71">
        <f t="shared" si="1"/>
        <v>0.75</v>
      </c>
      <c r="CG21" s="71">
        <f t="shared" si="2"/>
        <v>0</v>
      </c>
      <c r="CH21" s="71">
        <f t="shared" si="3"/>
        <v>1</v>
      </c>
      <c r="CI21" s="72">
        <f t="shared" si="4"/>
        <v>6775</v>
      </c>
      <c r="CJ21" s="72">
        <f t="shared" si="5"/>
        <v>3223.5608170844935</v>
      </c>
      <c r="CK21" s="70">
        <f t="shared" si="6"/>
        <v>0</v>
      </c>
      <c r="CL21" s="72">
        <f t="shared" si="7"/>
        <v>1180</v>
      </c>
      <c r="CM21" s="72">
        <f t="shared" si="8"/>
        <v>479.94894237782654</v>
      </c>
      <c r="CN21" s="45">
        <f t="shared" si="9"/>
        <v>5.7415254237288131</v>
      </c>
      <c r="CO21" s="45">
        <f t="shared" si="10"/>
        <v>6.7164661330722017</v>
      </c>
      <c r="CP21" s="72">
        <f t="shared" si="11"/>
        <v>0</v>
      </c>
      <c r="CQ21" s="72">
        <f t="shared" si="12"/>
        <v>0</v>
      </c>
      <c r="CR21" s="72">
        <f t="shared" si="13"/>
        <v>0</v>
      </c>
      <c r="CS21" s="70">
        <f t="shared" si="14"/>
        <v>0</v>
      </c>
    </row>
    <row r="22" spans="1:97" s="34" customFormat="1" ht="12" customHeight="1">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2"/>
      <c r="BB22" s="32"/>
      <c r="BC22" s="33"/>
      <c r="BD22" s="33"/>
      <c r="BE22" s="35" t="s">
        <v>126</v>
      </c>
      <c r="CA22" s="29"/>
      <c r="CB22" s="63">
        <v>5</v>
      </c>
      <c r="CC22" s="63">
        <f>data!$D26</f>
        <v>19</v>
      </c>
      <c r="CD22" s="63">
        <f>data!$E26</f>
        <v>0</v>
      </c>
      <c r="CE22" s="70">
        <f t="shared" si="0"/>
        <v>0</v>
      </c>
      <c r="CF22" s="71">
        <f t="shared" si="1"/>
        <v>0.75</v>
      </c>
      <c r="CG22" s="71">
        <f t="shared" si="2"/>
        <v>0</v>
      </c>
      <c r="CH22" s="71">
        <f t="shared" si="3"/>
        <v>1</v>
      </c>
      <c r="CI22" s="72">
        <f t="shared" si="4"/>
        <v>6700</v>
      </c>
      <c r="CJ22" s="72">
        <f t="shared" si="5"/>
        <v>3189.6007428040853</v>
      </c>
      <c r="CK22" s="70">
        <f t="shared" si="6"/>
        <v>0</v>
      </c>
      <c r="CL22" s="72">
        <f t="shared" si="7"/>
        <v>1200</v>
      </c>
      <c r="CM22" s="72">
        <f t="shared" si="8"/>
        <v>489.0444930707514</v>
      </c>
      <c r="CN22" s="45">
        <f t="shared" si="9"/>
        <v>5.583333333333333</v>
      </c>
      <c r="CO22" s="45">
        <f t="shared" si="10"/>
        <v>6.5221074728320003</v>
      </c>
      <c r="CP22" s="72">
        <f t="shared" si="11"/>
        <v>0</v>
      </c>
      <c r="CQ22" s="72">
        <f t="shared" si="12"/>
        <v>0</v>
      </c>
      <c r="CR22" s="72">
        <f t="shared" si="13"/>
        <v>0</v>
      </c>
      <c r="CS22" s="70">
        <f t="shared" si="14"/>
        <v>0</v>
      </c>
    </row>
    <row r="23" spans="1:97" s="34" customFormat="1" ht="12" customHeight="1">
      <c r="A23" s="31"/>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2"/>
      <c r="BB23" s="32"/>
      <c r="BC23" s="33"/>
      <c r="BD23" s="33"/>
      <c r="BE23" s="35" t="s">
        <v>126</v>
      </c>
      <c r="CA23" s="29"/>
      <c r="CB23" s="63">
        <v>6</v>
      </c>
      <c r="CC23" s="63">
        <f>data!$D27</f>
        <v>20</v>
      </c>
      <c r="CD23" s="63">
        <f>data!$E27</f>
        <v>0</v>
      </c>
      <c r="CE23" s="70">
        <f t="shared" si="0"/>
        <v>0</v>
      </c>
      <c r="CF23" s="71">
        <f t="shared" si="1"/>
        <v>0.75</v>
      </c>
      <c r="CG23" s="71">
        <f t="shared" si="2"/>
        <v>0</v>
      </c>
      <c r="CH23" s="71">
        <f t="shared" si="3"/>
        <v>1</v>
      </c>
      <c r="CI23" s="72">
        <f t="shared" si="4"/>
        <v>6625</v>
      </c>
      <c r="CJ23" s="72">
        <f t="shared" si="5"/>
        <v>3155.6406685236766</v>
      </c>
      <c r="CK23" s="70">
        <f t="shared" si="6"/>
        <v>0</v>
      </c>
      <c r="CL23" s="72">
        <f t="shared" si="7"/>
        <v>1220</v>
      </c>
      <c r="CM23" s="72">
        <f t="shared" si="8"/>
        <v>498.14004376367626</v>
      </c>
      <c r="CN23" s="45">
        <f t="shared" si="9"/>
        <v>5.4303278688524594</v>
      </c>
      <c r="CO23" s="45">
        <f t="shared" si="10"/>
        <v>6.334846411224774</v>
      </c>
      <c r="CP23" s="72">
        <f t="shared" si="11"/>
        <v>0</v>
      </c>
      <c r="CQ23" s="72">
        <f t="shared" si="12"/>
        <v>0</v>
      </c>
      <c r="CR23" s="72">
        <f t="shared" si="13"/>
        <v>0</v>
      </c>
      <c r="CS23" s="70">
        <f t="shared" si="14"/>
        <v>0</v>
      </c>
    </row>
    <row r="24" spans="1:97" s="34" customFormat="1" ht="12" customHeight="1">
      <c r="A24" s="31"/>
      <c r="B24" s="31"/>
      <c r="C24" s="31"/>
      <c r="D24" s="3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2"/>
      <c r="BB24" s="32"/>
      <c r="BC24" s="33"/>
      <c r="BD24" s="33"/>
      <c r="BE24" s="35" t="s">
        <v>126</v>
      </c>
      <c r="CA24" s="29"/>
      <c r="CB24" s="63">
        <v>7</v>
      </c>
      <c r="CC24" s="63">
        <f>data!$D28</f>
        <v>21</v>
      </c>
      <c r="CD24" s="63">
        <f>data!$E28</f>
        <v>100</v>
      </c>
      <c r="CE24" s="70">
        <f t="shared" si="0"/>
        <v>366.66666666666669</v>
      </c>
      <c r="CF24" s="71">
        <f t="shared" si="1"/>
        <v>0.77936452462039529</v>
      </c>
      <c r="CG24" s="71">
        <f t="shared" si="2"/>
        <v>0.1174580984815812</v>
      </c>
      <c r="CH24" s="71">
        <f t="shared" si="3"/>
        <v>1</v>
      </c>
      <c r="CI24" s="72">
        <f t="shared" si="4"/>
        <v>6550</v>
      </c>
      <c r="CJ24" s="72">
        <f t="shared" si="5"/>
        <v>3121.6805942432679</v>
      </c>
      <c r="CK24" s="70">
        <f t="shared" si="6"/>
        <v>36666.666666666672</v>
      </c>
      <c r="CL24" s="72">
        <f t="shared" si="7"/>
        <v>1240</v>
      </c>
      <c r="CM24" s="72">
        <f t="shared" si="8"/>
        <v>507.23559445660112</v>
      </c>
      <c r="CN24" s="45">
        <f t="shared" si="9"/>
        <v>5.282258064516129</v>
      </c>
      <c r="CO24" s="45">
        <f t="shared" si="10"/>
        <v>6.1543011341455802</v>
      </c>
      <c r="CP24" s="72">
        <f t="shared" si="11"/>
        <v>76.445522634053589</v>
      </c>
      <c r="CQ24" s="72">
        <f t="shared" si="12"/>
        <v>0</v>
      </c>
      <c r="CR24" s="72">
        <f t="shared" si="13"/>
        <v>0</v>
      </c>
      <c r="CS24" s="70">
        <f t="shared" si="14"/>
        <v>7644.5522634053586</v>
      </c>
    </row>
    <row r="25" spans="1:97"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2"/>
      <c r="BB25" s="32"/>
      <c r="BC25" s="33"/>
      <c r="BD25" s="33"/>
      <c r="BE25" s="35" t="s">
        <v>126</v>
      </c>
      <c r="CA25" s="29"/>
      <c r="CB25" s="63">
        <v>8</v>
      </c>
      <c r="CC25" s="63">
        <f>data!$D29</f>
        <v>22</v>
      </c>
      <c r="CD25" s="63">
        <f>data!$E29</f>
        <v>139</v>
      </c>
      <c r="CE25" s="70">
        <f t="shared" si="0"/>
        <v>733.33333333333337</v>
      </c>
      <c r="CF25" s="71">
        <f t="shared" si="1"/>
        <v>0.80937497650711554</v>
      </c>
      <c r="CG25" s="71">
        <f t="shared" si="2"/>
        <v>0.2374999060284621</v>
      </c>
      <c r="CH25" s="71">
        <f t="shared" si="3"/>
        <v>1</v>
      </c>
      <c r="CI25" s="72">
        <f t="shared" si="4"/>
        <v>6475</v>
      </c>
      <c r="CJ25" s="72">
        <f t="shared" si="5"/>
        <v>3087.7205199628597</v>
      </c>
      <c r="CK25" s="70">
        <f t="shared" si="6"/>
        <v>101933.33333333334</v>
      </c>
      <c r="CL25" s="72">
        <f t="shared" si="7"/>
        <v>1260</v>
      </c>
      <c r="CM25" s="72">
        <f t="shared" si="8"/>
        <v>516.33114514952604</v>
      </c>
      <c r="CN25" s="45">
        <f t="shared" si="9"/>
        <v>5.1388888888888893</v>
      </c>
      <c r="CO25" s="45">
        <f t="shared" si="10"/>
        <v>5.9801167312281276</v>
      </c>
      <c r="CP25" s="72">
        <f t="shared" si="11"/>
        <v>151.5102418680998</v>
      </c>
      <c r="CQ25" s="72">
        <f t="shared" si="12"/>
        <v>0</v>
      </c>
      <c r="CR25" s="72">
        <f t="shared" si="13"/>
        <v>0</v>
      </c>
      <c r="CS25" s="70">
        <f t="shared" si="14"/>
        <v>21059.923619665871</v>
      </c>
    </row>
    <row r="26" spans="1:97" s="34" customFormat="1" ht="12" customHeight="1">
      <c r="A26" s="31"/>
      <c r="B26" s="31"/>
      <c r="C26" s="48" t="str">
        <f>'Variable Capacity unit'!$C$30</f>
        <v>　</v>
      </c>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5" t="s">
        <v>126</v>
      </c>
      <c r="CA26" s="29"/>
      <c r="CB26" s="63">
        <v>9</v>
      </c>
      <c r="CC26" s="63">
        <f>data!$D30</f>
        <v>23</v>
      </c>
      <c r="CD26" s="63">
        <f>data!$E30</f>
        <v>165</v>
      </c>
      <c r="CE26" s="70">
        <f t="shared" si="0"/>
        <v>1100</v>
      </c>
      <c r="CF26" s="71">
        <f t="shared" si="1"/>
        <v>0.84005290522667153</v>
      </c>
      <c r="CG26" s="71">
        <f t="shared" si="2"/>
        <v>0.36021162090668613</v>
      </c>
      <c r="CH26" s="71">
        <f t="shared" si="3"/>
        <v>1</v>
      </c>
      <c r="CI26" s="72">
        <f t="shared" si="4"/>
        <v>6400</v>
      </c>
      <c r="CJ26" s="72">
        <f t="shared" si="5"/>
        <v>3053.7604456824511</v>
      </c>
      <c r="CK26" s="70">
        <f t="shared" si="6"/>
        <v>181500</v>
      </c>
      <c r="CL26" s="72">
        <f t="shared" si="7"/>
        <v>1280</v>
      </c>
      <c r="CM26" s="72">
        <f t="shared" si="8"/>
        <v>525.42669584245084</v>
      </c>
      <c r="CN26" s="45">
        <f t="shared" si="9"/>
        <v>5</v>
      </c>
      <c r="CO26" s="45">
        <f t="shared" si="10"/>
        <v>5.8119628672200561</v>
      </c>
      <c r="CP26" s="72">
        <f t="shared" si="11"/>
        <v>225.30105020705125</v>
      </c>
      <c r="CQ26" s="72">
        <f t="shared" si="12"/>
        <v>0</v>
      </c>
      <c r="CR26" s="72">
        <f t="shared" si="13"/>
        <v>0</v>
      </c>
      <c r="CS26" s="70">
        <f t="shared" si="14"/>
        <v>37174.673284163458</v>
      </c>
    </row>
    <row r="27" spans="1:97" s="34" customFormat="1" ht="12" customHeight="1">
      <c r="A27" s="31"/>
      <c r="B27" s="31"/>
      <c r="C27" s="31"/>
      <c r="D27" s="31" t="str">
        <f>'Variable Capacity unit'!$D$31</f>
        <v>Standard Condition ( 46℃ ）</v>
      </c>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48" t="str">
        <f>'Variable Capacity unit'!$AI$31</f>
        <v>Select test item</v>
      </c>
      <c r="AJ27" s="31"/>
      <c r="AK27" s="31"/>
      <c r="AL27" s="31"/>
      <c r="AM27" s="31"/>
      <c r="AN27" s="31"/>
      <c r="AO27" s="31"/>
      <c r="AP27" s="31"/>
      <c r="AQ27" s="31"/>
      <c r="AR27" s="31"/>
      <c r="AS27" s="31"/>
      <c r="AT27" s="31"/>
      <c r="AU27" s="31"/>
      <c r="AV27" s="31"/>
      <c r="AW27" s="31"/>
      <c r="AX27" s="31"/>
      <c r="AY27" s="31"/>
      <c r="AZ27" s="31"/>
      <c r="BA27" s="32"/>
      <c r="BB27" s="32"/>
      <c r="BC27" s="33"/>
      <c r="BD27" s="33"/>
      <c r="BE27" s="35" t="s">
        <v>126</v>
      </c>
      <c r="CA27" s="29"/>
      <c r="CB27" s="63">
        <v>10</v>
      </c>
      <c r="CC27" s="63">
        <f>data!$D31</f>
        <v>24</v>
      </c>
      <c r="CD27" s="63">
        <f>data!$E31</f>
        <v>196</v>
      </c>
      <c r="CE27" s="70">
        <f t="shared" si="0"/>
        <v>1466.6666666666667</v>
      </c>
      <c r="CF27" s="71">
        <f t="shared" si="1"/>
        <v>0.8714208297141276</v>
      </c>
      <c r="CG27" s="71">
        <f t="shared" si="2"/>
        <v>0.48568331885651039</v>
      </c>
      <c r="CH27" s="71">
        <f t="shared" si="3"/>
        <v>1</v>
      </c>
      <c r="CI27" s="72">
        <f t="shared" si="4"/>
        <v>6325</v>
      </c>
      <c r="CJ27" s="72">
        <f t="shared" si="5"/>
        <v>3019.8003714020424</v>
      </c>
      <c r="CK27" s="70">
        <f t="shared" si="6"/>
        <v>287466.66666666669</v>
      </c>
      <c r="CL27" s="72">
        <f t="shared" si="7"/>
        <v>1300</v>
      </c>
      <c r="CM27" s="72">
        <f t="shared" si="8"/>
        <v>534.52224653537564</v>
      </c>
      <c r="CN27" s="45">
        <f t="shared" si="9"/>
        <v>4.865384615384615</v>
      </c>
      <c r="CO27" s="45">
        <f t="shared" si="10"/>
        <v>5.6495316911046221</v>
      </c>
      <c r="CP27" s="72">
        <f t="shared" si="11"/>
        <v>297.91408450163459</v>
      </c>
      <c r="CQ27" s="72">
        <f t="shared" si="12"/>
        <v>0</v>
      </c>
      <c r="CR27" s="72">
        <f t="shared" si="13"/>
        <v>0</v>
      </c>
      <c r="CS27" s="70">
        <f t="shared" si="14"/>
        <v>58391.16056232038</v>
      </c>
    </row>
    <row r="28" spans="1:97" s="34" customFormat="1" ht="12" customHeight="1">
      <c r="A28" s="31"/>
      <c r="B28" s="31"/>
      <c r="C28" s="31"/>
      <c r="D28" s="31"/>
      <c r="E28" s="31"/>
      <c r="F28" s="31"/>
      <c r="G28" s="31"/>
      <c r="H28" s="154" t="str">
        <f>'Variable Capacity unit'!$H$8</f>
        <v>Capacity [W]</v>
      </c>
      <c r="I28" s="154"/>
      <c r="J28" s="154"/>
      <c r="K28" s="154"/>
      <c r="L28" s="154" t="str">
        <f>'Variable Capacity unit'!$L$8</f>
        <v>Power [W]</v>
      </c>
      <c r="M28" s="154"/>
      <c r="N28" s="154"/>
      <c r="O28" s="154"/>
      <c r="P28" s="103" t="str">
        <f>'Variable Capacity unit'!$P$8</f>
        <v>EER</v>
      </c>
      <c r="Q28" s="104"/>
      <c r="R28" s="31"/>
      <c r="S28" s="31"/>
      <c r="T28" s="31"/>
      <c r="U28" s="31"/>
      <c r="V28" s="31"/>
      <c r="W28" s="31"/>
      <c r="X28" s="31"/>
      <c r="Y28" s="31"/>
      <c r="Z28" s="31"/>
      <c r="AA28" s="31"/>
      <c r="AB28" s="31"/>
      <c r="AC28" s="31"/>
      <c r="AD28" s="31"/>
      <c r="AE28" s="31"/>
      <c r="AF28" s="31"/>
      <c r="AG28" s="31"/>
      <c r="AH28" s="31"/>
      <c r="AI28" s="31"/>
      <c r="AJ28" s="31"/>
      <c r="AK28" s="108" t="str">
        <f>'Variable Capacity unit'!$AK$32</f>
        <v>Test</v>
      </c>
      <c r="AL28" s="108"/>
      <c r="AM28" s="108"/>
      <c r="AN28" s="108"/>
      <c r="AO28" s="108"/>
      <c r="AP28" s="108"/>
      <c r="AQ28" s="54"/>
      <c r="AR28" s="55" t="str">
        <f>'Variable Capacity unit'!$AR$32</f>
        <v>Required test only</v>
      </c>
      <c r="AS28" s="55"/>
      <c r="AT28" s="55"/>
      <c r="AU28" s="55"/>
      <c r="AV28" s="56"/>
      <c r="AW28" s="57"/>
      <c r="AX28" s="58" t="str">
        <f>'Variable Capacity unit'!$AX$32</f>
        <v>With Optional test</v>
      </c>
      <c r="AY28" s="58"/>
      <c r="AZ28" s="58"/>
      <c r="BA28" s="58"/>
      <c r="BB28" s="59"/>
      <c r="BC28" s="81">
        <v>1</v>
      </c>
      <c r="BD28" s="33" t="str">
        <f>IF($BC$28=2,"Optional test","Required test")</f>
        <v>Required test</v>
      </c>
      <c r="BE28" s="35" t="s">
        <v>126</v>
      </c>
      <c r="BL28" s="50"/>
      <c r="BM28" s="50"/>
      <c r="BN28" s="50"/>
      <c r="BO28" s="50"/>
      <c r="BP28" s="50"/>
      <c r="BQ28" s="50"/>
      <c r="CA28" s="29"/>
      <c r="CB28" s="63">
        <v>11</v>
      </c>
      <c r="CC28" s="63">
        <f>data!$D32</f>
        <v>25</v>
      </c>
      <c r="CD28" s="63">
        <f>data!$E32</f>
        <v>210</v>
      </c>
      <c r="CE28" s="70">
        <f t="shared" si="0"/>
        <v>1833.3333333333333</v>
      </c>
      <c r="CF28" s="71">
        <f t="shared" si="1"/>
        <v>0.90350229339967347</v>
      </c>
      <c r="CG28" s="71">
        <f t="shared" si="2"/>
        <v>0.61400917359869389</v>
      </c>
      <c r="CH28" s="71">
        <f t="shared" si="3"/>
        <v>1</v>
      </c>
      <c r="CI28" s="72">
        <f t="shared" si="4"/>
        <v>6250</v>
      </c>
      <c r="CJ28" s="72">
        <f t="shared" si="5"/>
        <v>2985.8402971216342</v>
      </c>
      <c r="CK28" s="70">
        <f t="shared" si="6"/>
        <v>385000</v>
      </c>
      <c r="CL28" s="72">
        <f t="shared" si="7"/>
        <v>1320</v>
      </c>
      <c r="CM28" s="72">
        <f t="shared" si="8"/>
        <v>543.61779722830056</v>
      </c>
      <c r="CN28" s="45">
        <f t="shared" si="9"/>
        <v>4.7348484848484844</v>
      </c>
      <c r="CO28" s="45">
        <f t="shared" si="10"/>
        <v>5.4925359551237891</v>
      </c>
      <c r="CP28" s="72">
        <f t="shared" si="11"/>
        <v>369.43604556190917</v>
      </c>
      <c r="CQ28" s="72">
        <f t="shared" si="12"/>
        <v>0</v>
      </c>
      <c r="CR28" s="72">
        <f t="shared" si="13"/>
        <v>0</v>
      </c>
      <c r="CS28" s="70">
        <f t="shared" si="14"/>
        <v>77581.569568000923</v>
      </c>
    </row>
    <row r="29" spans="1:97" s="34" customFormat="1" ht="12" customHeight="1">
      <c r="A29" s="31"/>
      <c r="B29" s="31"/>
      <c r="C29" s="31"/>
      <c r="D29" s="123" t="str">
        <f>'Variable Capacity unit'!$D$33</f>
        <v>Full</v>
      </c>
      <c r="E29" s="124"/>
      <c r="F29" s="124"/>
      <c r="G29" s="125"/>
      <c r="H29" s="134">
        <v>4800</v>
      </c>
      <c r="I29" s="134"/>
      <c r="J29" s="134"/>
      <c r="K29" s="134"/>
      <c r="L29" s="134">
        <v>1850</v>
      </c>
      <c r="M29" s="134"/>
      <c r="N29" s="134"/>
      <c r="O29" s="134"/>
      <c r="P29" s="111">
        <f>$H$29/$L$29</f>
        <v>2.5945945945945947</v>
      </c>
      <c r="Q29" s="111"/>
      <c r="R29" s="31"/>
      <c r="S29" s="31"/>
      <c r="T29" s="31"/>
      <c r="U29" s="31"/>
      <c r="V29" s="31"/>
      <c r="W29" s="31"/>
      <c r="X29" s="31"/>
      <c r="Y29" s="31"/>
      <c r="Z29" s="31"/>
      <c r="AA29" s="31"/>
      <c r="AB29" s="31"/>
      <c r="AC29" s="31"/>
      <c r="AD29" s="31"/>
      <c r="AE29" s="31"/>
      <c r="AF29" s="31"/>
      <c r="AG29" s="31"/>
      <c r="AH29" s="31"/>
      <c r="AI29" s="31" t="str">
        <f>'Variable Capacity unit'!$AI$33</f>
        <v>Measurement point</v>
      </c>
      <c r="AJ29" s="31"/>
      <c r="AK29" s="31"/>
      <c r="AL29" s="31"/>
      <c r="AM29" s="31"/>
      <c r="AN29" s="31"/>
      <c r="AO29" s="31"/>
      <c r="AP29" s="31"/>
      <c r="AQ29" s="32"/>
      <c r="AR29" s="32"/>
      <c r="AS29" s="32"/>
      <c r="AT29" s="32"/>
      <c r="AU29" s="32"/>
      <c r="AV29" s="32"/>
      <c r="AW29" s="32"/>
      <c r="AX29" s="32"/>
      <c r="AY29" s="32"/>
      <c r="AZ29" s="32"/>
      <c r="BA29" s="32"/>
      <c r="BB29" s="32"/>
      <c r="BC29" s="33"/>
      <c r="BD29" s="33"/>
      <c r="BE29" s="35" t="s">
        <v>126</v>
      </c>
      <c r="BL29" s="50"/>
      <c r="BM29" s="50"/>
      <c r="BN29" s="50"/>
      <c r="BO29" s="50"/>
      <c r="BP29" s="50"/>
      <c r="BQ29" s="50"/>
      <c r="CA29" s="29"/>
      <c r="CB29" s="63">
        <v>12</v>
      </c>
      <c r="CC29" s="63">
        <f>data!$D33</f>
        <v>26</v>
      </c>
      <c r="CD29" s="63">
        <f>data!$E33</f>
        <v>215</v>
      </c>
      <c r="CE29" s="70">
        <f t="shared" si="0"/>
        <v>2200</v>
      </c>
      <c r="CF29" s="71">
        <f t="shared" si="1"/>
        <v>0.93632192314043738</v>
      </c>
      <c r="CG29" s="71">
        <f t="shared" si="2"/>
        <v>0.74528769256174954</v>
      </c>
      <c r="CH29" s="71">
        <f t="shared" si="3"/>
        <v>1</v>
      </c>
      <c r="CI29" s="72">
        <f t="shared" si="4"/>
        <v>6175</v>
      </c>
      <c r="CJ29" s="72">
        <f t="shared" si="5"/>
        <v>2951.8802228412255</v>
      </c>
      <c r="CK29" s="70">
        <f t="shared" si="6"/>
        <v>473000</v>
      </c>
      <c r="CL29" s="72">
        <f t="shared" si="7"/>
        <v>1340</v>
      </c>
      <c r="CM29" s="72">
        <f t="shared" si="8"/>
        <v>552.71334792122548</v>
      </c>
      <c r="CN29" s="45">
        <f t="shared" si="9"/>
        <v>4.6082089552238807</v>
      </c>
      <c r="CO29" s="45">
        <f t="shared" si="10"/>
        <v>5.3407073195234958</v>
      </c>
      <c r="CP29" s="72">
        <f t="shared" si="11"/>
        <v>439.94532813956641</v>
      </c>
      <c r="CQ29" s="72">
        <f t="shared" si="12"/>
        <v>0</v>
      </c>
      <c r="CR29" s="72">
        <f t="shared" si="13"/>
        <v>0</v>
      </c>
      <c r="CS29" s="70">
        <f t="shared" si="14"/>
        <v>94588.245550006774</v>
      </c>
    </row>
    <row r="30" spans="1:97" s="34" customFormat="1" ht="12" customHeight="1">
      <c r="A30" s="31"/>
      <c r="B30" s="31"/>
      <c r="C30" s="31"/>
      <c r="D30" s="123" t="str">
        <f>'Variable Capacity unit'!$D$35</f>
        <v>Minimum</v>
      </c>
      <c r="E30" s="124"/>
      <c r="F30" s="124"/>
      <c r="G30" s="125"/>
      <c r="H30" s="127">
        <v>2300</v>
      </c>
      <c r="I30" s="127"/>
      <c r="J30" s="127"/>
      <c r="K30" s="127"/>
      <c r="L30" s="127">
        <v>700</v>
      </c>
      <c r="M30" s="127"/>
      <c r="N30" s="127"/>
      <c r="O30" s="127"/>
      <c r="P30" s="111">
        <f>$H$30/$L$30</f>
        <v>3.2857142857142856</v>
      </c>
      <c r="Q30" s="111"/>
      <c r="R30" s="31"/>
      <c r="S30" s="31"/>
      <c r="T30" s="31"/>
      <c r="U30" s="31"/>
      <c r="V30" s="31"/>
      <c r="W30" s="31"/>
      <c r="X30" s="31"/>
      <c r="Y30" s="31"/>
      <c r="Z30" s="31"/>
      <c r="AA30" s="31"/>
      <c r="AB30" s="31"/>
      <c r="AC30" s="31"/>
      <c r="AD30" s="31"/>
      <c r="AE30" s="31"/>
      <c r="AF30" s="31"/>
      <c r="AG30" s="31"/>
      <c r="AH30" s="31"/>
      <c r="AI30" s="31"/>
      <c r="AJ30" s="31"/>
      <c r="AK30" s="108" t="str">
        <f>'Variable Capacity unit'!$AK$34</f>
        <v>Full Performance</v>
      </c>
      <c r="AL30" s="108"/>
      <c r="AM30" s="108"/>
      <c r="AN30" s="108"/>
      <c r="AO30" s="108"/>
      <c r="AP30" s="108"/>
      <c r="AQ30" s="105" t="s">
        <v>44</v>
      </c>
      <c r="AR30" s="105"/>
      <c r="AS30" s="105"/>
      <c r="AT30" s="105"/>
      <c r="AU30" s="105"/>
      <c r="AV30" s="105"/>
      <c r="AW30" s="105"/>
      <c r="AX30" s="105"/>
      <c r="AY30" s="105"/>
      <c r="AZ30" s="105"/>
      <c r="BA30" s="105"/>
      <c r="BB30" s="105"/>
      <c r="BC30" s="33"/>
      <c r="BD30" s="33"/>
      <c r="BE30" s="35" t="s">
        <v>126</v>
      </c>
      <c r="BL30" s="50"/>
      <c r="BM30" s="50"/>
      <c r="BN30" s="50"/>
      <c r="BO30" s="50"/>
      <c r="BP30" s="50"/>
      <c r="BQ30" s="50"/>
      <c r="CA30" s="29"/>
      <c r="CB30" s="63">
        <v>13</v>
      </c>
      <c r="CC30" s="63">
        <f>data!$D34</f>
        <v>27</v>
      </c>
      <c r="CD30" s="63">
        <f>data!$E34</f>
        <v>210</v>
      </c>
      <c r="CE30" s="70">
        <f t="shared" si="0"/>
        <v>2566.6666666666665</v>
      </c>
      <c r="CF30" s="71">
        <f t="shared" si="1"/>
        <v>0.96990549226754919</v>
      </c>
      <c r="CG30" s="71">
        <f t="shared" si="2"/>
        <v>0.87962196907019663</v>
      </c>
      <c r="CH30" s="71">
        <f t="shared" si="3"/>
        <v>1</v>
      </c>
      <c r="CI30" s="72">
        <f t="shared" si="4"/>
        <v>6100</v>
      </c>
      <c r="CJ30" s="72">
        <f t="shared" si="5"/>
        <v>2917.9201485608169</v>
      </c>
      <c r="CK30" s="70">
        <f t="shared" si="6"/>
        <v>539000</v>
      </c>
      <c r="CL30" s="72">
        <f t="shared" si="7"/>
        <v>1360</v>
      </c>
      <c r="CM30" s="72">
        <f t="shared" si="8"/>
        <v>561.80889861415028</v>
      </c>
      <c r="CN30" s="45">
        <f t="shared" si="9"/>
        <v>4.4852941176470589</v>
      </c>
      <c r="CO30" s="45">
        <f t="shared" si="10"/>
        <v>5.1937948219735146</v>
      </c>
      <c r="CP30" s="72">
        <f t="shared" si="11"/>
        <v>509.51299232752206</v>
      </c>
      <c r="CQ30" s="72">
        <f t="shared" si="12"/>
        <v>0</v>
      </c>
      <c r="CR30" s="72">
        <f t="shared" si="13"/>
        <v>0</v>
      </c>
      <c r="CS30" s="70">
        <f t="shared" si="14"/>
        <v>106997.72838877964</v>
      </c>
    </row>
    <row r="31" spans="1:97" s="34" customFormat="1" ht="12" customHeight="1">
      <c r="A31" s="31"/>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c r="AJ31" s="31"/>
      <c r="AK31" s="108" t="str">
        <f>'Variable Capacity unit'!$AK$36</f>
        <v>Min Performance</v>
      </c>
      <c r="AL31" s="108"/>
      <c r="AM31" s="108"/>
      <c r="AN31" s="108"/>
      <c r="AO31" s="108"/>
      <c r="AP31" s="108"/>
      <c r="AQ31" s="105" t="s">
        <v>44</v>
      </c>
      <c r="AR31" s="105"/>
      <c r="AS31" s="105"/>
      <c r="AT31" s="105"/>
      <c r="AU31" s="105"/>
      <c r="AV31" s="105"/>
      <c r="AW31" s="105"/>
      <c r="AX31" s="105"/>
      <c r="AY31" s="105"/>
      <c r="AZ31" s="105"/>
      <c r="BA31" s="105"/>
      <c r="BB31" s="105"/>
      <c r="BC31" s="33"/>
      <c r="BD31" s="33"/>
      <c r="BE31" s="35" t="s">
        <v>126</v>
      </c>
      <c r="BL31" s="50"/>
      <c r="BM31" s="50"/>
      <c r="BN31" s="50"/>
      <c r="BO31" s="50"/>
      <c r="BP31" s="50"/>
      <c r="BQ31" s="50"/>
      <c r="CA31" s="29"/>
      <c r="CB31" s="63">
        <v>14</v>
      </c>
      <c r="CC31" s="63">
        <f>data!$D35</f>
        <v>28</v>
      </c>
      <c r="CD31" s="63">
        <f>data!$E35</f>
        <v>181</v>
      </c>
      <c r="CE31" s="70">
        <f t="shared" si="0"/>
        <v>2933.3333333333335</v>
      </c>
      <c r="CF31" s="71">
        <f t="shared" si="1"/>
        <v>1</v>
      </c>
      <c r="CG31" s="71">
        <f t="shared" si="2"/>
        <v>1</v>
      </c>
      <c r="CH31" s="71">
        <f t="shared" si="3"/>
        <v>0.9842812379910727</v>
      </c>
      <c r="CI31" s="72">
        <f t="shared" si="4"/>
        <v>6025</v>
      </c>
      <c r="CJ31" s="72">
        <f t="shared" si="5"/>
        <v>2883.9600742804087</v>
      </c>
      <c r="CK31" s="70">
        <f t="shared" si="6"/>
        <v>530933.33333333337</v>
      </c>
      <c r="CL31" s="72">
        <f t="shared" si="7"/>
        <v>1380</v>
      </c>
      <c r="CM31" s="72">
        <f t="shared" si="8"/>
        <v>570.90444930707508</v>
      </c>
      <c r="CN31" s="45">
        <f t="shared" si="9"/>
        <v>4.3659420289855069</v>
      </c>
      <c r="CO31" s="45">
        <f t="shared" si="10"/>
        <v>5.0515634932969302</v>
      </c>
      <c r="CP31" s="72">
        <f t="shared" si="11"/>
        <v>0</v>
      </c>
      <c r="CQ31" s="72">
        <f t="shared" si="12"/>
        <v>583.62242971089915</v>
      </c>
      <c r="CR31" s="72">
        <f t="shared" si="13"/>
        <v>0</v>
      </c>
      <c r="CS31" s="70">
        <f t="shared" si="14"/>
        <v>105635.65977767274</v>
      </c>
    </row>
    <row r="32" spans="1:97" ht="12" customHeight="1">
      <c r="A32" s="31"/>
      <c r="B32" s="31"/>
      <c r="C32" s="31"/>
      <c r="D32" s="31" t="str">
        <f>'Variable Capacity unit'!$D$37</f>
        <v>Medium Condition ( 35℃ ）</v>
      </c>
      <c r="E32" s="31"/>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76"/>
      <c r="AR32" s="76"/>
      <c r="AS32" s="76"/>
      <c r="AT32" s="76"/>
      <c r="AU32" s="76"/>
      <c r="AV32" s="76"/>
      <c r="AW32" s="76"/>
      <c r="AX32" s="76"/>
      <c r="AY32" s="76"/>
      <c r="AZ32" s="76"/>
      <c r="BA32" s="76"/>
      <c r="BB32" s="76"/>
      <c r="BC32" s="33"/>
      <c r="BD32" s="33"/>
      <c r="BE32" s="35" t="s">
        <v>126</v>
      </c>
      <c r="BL32" s="50"/>
      <c r="BM32" s="50"/>
      <c r="BN32" s="50"/>
      <c r="BO32" s="50"/>
      <c r="BP32" s="50"/>
      <c r="BQ32" s="50"/>
      <c r="CB32" s="63">
        <v>15</v>
      </c>
      <c r="CC32" s="63">
        <f>data!$D36</f>
        <v>29</v>
      </c>
      <c r="CD32" s="63">
        <f>data!$E36</f>
        <v>150</v>
      </c>
      <c r="CE32" s="70">
        <f t="shared" si="0"/>
        <v>3300</v>
      </c>
      <c r="CF32" s="71">
        <f t="shared" si="1"/>
        <v>1</v>
      </c>
      <c r="CG32" s="71">
        <f t="shared" si="2"/>
        <v>1</v>
      </c>
      <c r="CH32" s="71">
        <f t="shared" si="3"/>
        <v>0.85483870967741937</v>
      </c>
      <c r="CI32" s="72">
        <f t="shared" si="4"/>
        <v>5950</v>
      </c>
      <c r="CJ32" s="72">
        <f t="shared" si="5"/>
        <v>2850</v>
      </c>
      <c r="CK32" s="70">
        <f t="shared" si="6"/>
        <v>495000</v>
      </c>
      <c r="CL32" s="72">
        <f t="shared" si="7"/>
        <v>1400</v>
      </c>
      <c r="CM32" s="72">
        <f t="shared" si="8"/>
        <v>580</v>
      </c>
      <c r="CN32" s="45">
        <f t="shared" si="9"/>
        <v>4.25</v>
      </c>
      <c r="CO32" s="45">
        <f t="shared" si="10"/>
        <v>4.9137931034482758</v>
      </c>
      <c r="CP32" s="72">
        <f t="shared" si="11"/>
        <v>0</v>
      </c>
      <c r="CQ32" s="72">
        <f t="shared" si="12"/>
        <v>699.0322580645161</v>
      </c>
      <c r="CR32" s="72">
        <f t="shared" si="13"/>
        <v>0</v>
      </c>
      <c r="CS32" s="70">
        <f t="shared" si="14"/>
        <v>104854.83870967741</v>
      </c>
    </row>
    <row r="33" spans="1:97" ht="12" customHeight="1">
      <c r="A33" s="31"/>
      <c r="B33" s="31"/>
      <c r="C33" s="31"/>
      <c r="D33" s="31"/>
      <c r="E33" s="31"/>
      <c r="F33" s="31"/>
      <c r="G33" s="31"/>
      <c r="H33" s="154" t="str">
        <f>'Variable Capacity unit'!$H$8</f>
        <v>Capacity [W]</v>
      </c>
      <c r="I33" s="154"/>
      <c r="J33" s="154"/>
      <c r="K33" s="154"/>
      <c r="L33" s="154" t="str">
        <f>'Variable Capacity unit'!$L$8</f>
        <v>Power [W]</v>
      </c>
      <c r="M33" s="154"/>
      <c r="N33" s="154"/>
      <c r="O33" s="154"/>
      <c r="P33" s="103" t="str">
        <f>'Variable Capacity unit'!$P$8</f>
        <v>EER</v>
      </c>
      <c r="Q33" s="104"/>
      <c r="R33" s="31"/>
      <c r="S33" s="31"/>
      <c r="T33" s="31"/>
      <c r="U33" s="31"/>
      <c r="V33" s="31"/>
      <c r="W33" s="31"/>
      <c r="X33" s="31"/>
      <c r="Y33" s="108" t="str">
        <f>data!$I$7</f>
        <v>International</v>
      </c>
      <c r="Z33" s="108"/>
      <c r="AA33" s="108"/>
      <c r="AB33" s="108"/>
      <c r="AC33" s="108" t="str">
        <f>data!$K$7</f>
        <v>CUSTOM</v>
      </c>
      <c r="AD33" s="108"/>
      <c r="AE33" s="108"/>
      <c r="AF33" s="108"/>
      <c r="AG33" s="31"/>
      <c r="AH33" s="31"/>
      <c r="AI33" s="31" t="str">
        <f>'Variable Capacity unit'!$AI$38</f>
        <v>(46℃）</v>
      </c>
      <c r="AJ33" s="31"/>
      <c r="AK33" s="109" t="str">
        <f>'Variable Capacity unit'!$AK$38</f>
        <v>Full</v>
      </c>
      <c r="AL33" s="109"/>
      <c r="AM33" s="109"/>
      <c r="AN33" s="109"/>
      <c r="AO33" s="109"/>
      <c r="AP33" s="109"/>
      <c r="AQ33" s="105" t="s">
        <v>44</v>
      </c>
      <c r="AR33" s="105"/>
      <c r="AS33" s="105"/>
      <c r="AT33" s="105"/>
      <c r="AU33" s="105"/>
      <c r="AV33" s="105"/>
      <c r="AW33" s="105"/>
      <c r="AX33" s="105"/>
      <c r="AY33" s="105"/>
      <c r="AZ33" s="105"/>
      <c r="BA33" s="105"/>
      <c r="BB33" s="105"/>
      <c r="BC33" s="33"/>
      <c r="BD33" s="33"/>
      <c r="BE33" s="35" t="s">
        <v>126</v>
      </c>
      <c r="BL33" s="84"/>
      <c r="BM33" s="84"/>
      <c r="BN33" s="84"/>
      <c r="BO33" s="84"/>
      <c r="BP33" s="84"/>
      <c r="BQ33" s="84"/>
      <c r="CB33" s="63">
        <v>16</v>
      </c>
      <c r="CC33" s="63">
        <f>data!$D37</f>
        <v>30</v>
      </c>
      <c r="CD33" s="63">
        <f>data!$E37</f>
        <v>120</v>
      </c>
      <c r="CE33" s="70">
        <f t="shared" si="0"/>
        <v>3666.6666666666665</v>
      </c>
      <c r="CF33" s="71">
        <f t="shared" si="1"/>
        <v>1</v>
      </c>
      <c r="CG33" s="71">
        <f t="shared" si="2"/>
        <v>1</v>
      </c>
      <c r="CH33" s="71">
        <f t="shared" si="3"/>
        <v>0.72192290180604035</v>
      </c>
      <c r="CI33" s="72">
        <f t="shared" si="4"/>
        <v>5875</v>
      </c>
      <c r="CJ33" s="72">
        <f t="shared" si="5"/>
        <v>2816.0399257195913</v>
      </c>
      <c r="CK33" s="70">
        <f t="shared" si="6"/>
        <v>440000</v>
      </c>
      <c r="CL33" s="72">
        <f t="shared" si="7"/>
        <v>1420</v>
      </c>
      <c r="CM33" s="72">
        <f t="shared" si="8"/>
        <v>589.09555069292492</v>
      </c>
      <c r="CN33" s="45">
        <f t="shared" si="9"/>
        <v>4.137323943661972</v>
      </c>
      <c r="CO33" s="45">
        <f t="shared" si="10"/>
        <v>4.78027702366317</v>
      </c>
      <c r="CP33" s="72">
        <f t="shared" si="11"/>
        <v>0</v>
      </c>
      <c r="CQ33" s="72">
        <f t="shared" si="12"/>
        <v>820.15104883268646</v>
      </c>
      <c r="CR33" s="72">
        <f t="shared" si="13"/>
        <v>0</v>
      </c>
      <c r="CS33" s="70">
        <f t="shared" si="14"/>
        <v>98418.12585992238</v>
      </c>
    </row>
    <row r="34" spans="1:97" ht="12" customHeight="1">
      <c r="A34" s="31"/>
      <c r="B34" s="31"/>
      <c r="C34" s="31"/>
      <c r="D34" s="123" t="str">
        <f>'Variable Capacity unit'!$D$39</f>
        <v>Full</v>
      </c>
      <c r="E34" s="124"/>
      <c r="F34" s="124"/>
      <c r="G34" s="125"/>
      <c r="H34" s="134">
        <v>5500</v>
      </c>
      <c r="I34" s="134"/>
      <c r="J34" s="134"/>
      <c r="K34" s="134"/>
      <c r="L34" s="134">
        <v>1520</v>
      </c>
      <c r="M34" s="134"/>
      <c r="N34" s="134"/>
      <c r="O34" s="134"/>
      <c r="P34" s="111">
        <f>$H$34/$L$34</f>
        <v>3.6184210526315788</v>
      </c>
      <c r="Q34" s="111"/>
      <c r="R34" s="31"/>
      <c r="S34" s="31"/>
      <c r="T34" s="31"/>
      <c r="U34" s="108" t="str">
        <f>'Variable Capacity unit'!$U$38</f>
        <v>CSTL [ kWh ]</v>
      </c>
      <c r="V34" s="108"/>
      <c r="W34" s="108"/>
      <c r="X34" s="108"/>
      <c r="Y34" s="126">
        <f>'Two-stage Capacity unit'!$CK$163/1000</f>
        <v>12655.753846153848</v>
      </c>
      <c r="Z34" s="126"/>
      <c r="AA34" s="126"/>
      <c r="AB34" s="126"/>
      <c r="AC34" s="146">
        <f>'Two-stage Capacity unit'!CK223/1000</f>
        <v>12655.753846153848</v>
      </c>
      <c r="AD34" s="146"/>
      <c r="AE34" s="146"/>
      <c r="AF34" s="146"/>
      <c r="AG34" s="31"/>
      <c r="AH34" s="31"/>
      <c r="AI34" s="31"/>
      <c r="AJ34" s="31"/>
      <c r="AK34" s="109" t="str">
        <f>'Variable Capacity unit'!$AK$40</f>
        <v>Minimum</v>
      </c>
      <c r="AL34" s="109"/>
      <c r="AM34" s="109"/>
      <c r="AN34" s="109"/>
      <c r="AO34" s="109"/>
      <c r="AP34" s="109"/>
      <c r="AQ34" s="57"/>
      <c r="AR34" s="101" t="s">
        <v>108</v>
      </c>
      <c r="AS34" s="101"/>
      <c r="AT34" s="101"/>
      <c r="AU34" s="101"/>
      <c r="AV34" s="102"/>
      <c r="AW34" s="57"/>
      <c r="AX34" s="101" t="s">
        <v>109</v>
      </c>
      <c r="AY34" s="101"/>
      <c r="AZ34" s="101"/>
      <c r="BA34" s="101"/>
      <c r="BB34" s="102"/>
      <c r="BC34" s="81">
        <v>1</v>
      </c>
      <c r="BD34" s="33" t="str">
        <f>IF($BC$28=2,IF($BC$34=2,"Measure","Default"),"Default")</f>
        <v>Default</v>
      </c>
      <c r="BE34" s="35" t="s">
        <v>126</v>
      </c>
      <c r="BL34" s="84"/>
      <c r="BM34" s="84"/>
      <c r="BN34" s="84"/>
      <c r="BO34" s="84"/>
      <c r="BP34" s="84"/>
      <c r="BQ34" s="84"/>
      <c r="CB34" s="63">
        <v>17</v>
      </c>
      <c r="CC34" s="63">
        <f>data!$D38</f>
        <v>31</v>
      </c>
      <c r="CD34" s="63">
        <f>data!$E38</f>
        <v>75</v>
      </c>
      <c r="CE34" s="70">
        <f t="shared" si="0"/>
        <v>4033.3333333333335</v>
      </c>
      <c r="CF34" s="71">
        <f t="shared" si="1"/>
        <v>1</v>
      </c>
      <c r="CG34" s="71">
        <f t="shared" si="2"/>
        <v>1</v>
      </c>
      <c r="CH34" s="71">
        <f t="shared" si="3"/>
        <v>0.58539211765067845</v>
      </c>
      <c r="CI34" s="72">
        <f t="shared" si="4"/>
        <v>5800</v>
      </c>
      <c r="CJ34" s="72">
        <f t="shared" si="5"/>
        <v>2782.0798514391831</v>
      </c>
      <c r="CK34" s="70">
        <f t="shared" si="6"/>
        <v>302500</v>
      </c>
      <c r="CL34" s="72">
        <f t="shared" si="7"/>
        <v>1440</v>
      </c>
      <c r="CM34" s="72">
        <f t="shared" si="8"/>
        <v>598.19110138584972</v>
      </c>
      <c r="CN34" s="45">
        <f t="shared" si="9"/>
        <v>4.0277777777777777</v>
      </c>
      <c r="CO34" s="45">
        <f t="shared" si="10"/>
        <v>4.6508211924146714</v>
      </c>
      <c r="CP34" s="72">
        <f t="shared" si="11"/>
        <v>0</v>
      </c>
      <c r="CQ34" s="72">
        <f t="shared" si="12"/>
        <v>947.21170618307724</v>
      </c>
      <c r="CR34" s="72">
        <f t="shared" si="13"/>
        <v>0</v>
      </c>
      <c r="CS34" s="70">
        <f t="shared" si="14"/>
        <v>71040.877963730789</v>
      </c>
    </row>
    <row r="35" spans="1:97" ht="12" customHeight="1">
      <c r="A35" s="31"/>
      <c r="B35" s="31"/>
      <c r="C35" s="31"/>
      <c r="D35" s="123" t="str">
        <f>'Variable Capacity unit'!$D$41</f>
        <v>Minimum</v>
      </c>
      <c r="E35" s="124"/>
      <c r="F35" s="124"/>
      <c r="G35" s="125"/>
      <c r="H35" s="134">
        <v>2600</v>
      </c>
      <c r="I35" s="134"/>
      <c r="J35" s="134"/>
      <c r="K35" s="134"/>
      <c r="L35" s="134">
        <v>600</v>
      </c>
      <c r="M35" s="134"/>
      <c r="N35" s="134"/>
      <c r="O35" s="134"/>
      <c r="P35" s="111">
        <f>$H$35/$L$35</f>
        <v>4.333333333333333</v>
      </c>
      <c r="Q35" s="111"/>
      <c r="R35" s="31"/>
      <c r="S35" s="31"/>
      <c r="T35" s="31"/>
      <c r="U35" s="108" t="str">
        <f>'Variable Capacity unit'!$U$39</f>
        <v>CSEC [ kWh ]</v>
      </c>
      <c r="V35" s="108"/>
      <c r="W35" s="108"/>
      <c r="X35" s="108"/>
      <c r="Y35" s="126">
        <f>'Two-stage Capacity unit'!$CS$163/1000</f>
        <v>3193.5338005707808</v>
      </c>
      <c r="Z35" s="126"/>
      <c r="AA35" s="126"/>
      <c r="AB35" s="126"/>
      <c r="AC35" s="146">
        <f>'Two-stage Capacity unit'!CS223/1000</f>
        <v>3193.5338005707808</v>
      </c>
      <c r="AD35" s="146"/>
      <c r="AE35" s="146"/>
      <c r="AF35" s="146"/>
      <c r="AG35" s="31"/>
      <c r="AH35" s="31"/>
      <c r="AI35" s="31"/>
      <c r="AJ35" s="31"/>
      <c r="AK35" s="31"/>
      <c r="AL35" s="31"/>
      <c r="AM35" s="31"/>
      <c r="AN35" s="31"/>
      <c r="AO35" s="31"/>
      <c r="AP35" s="31"/>
      <c r="AQ35" s="76"/>
      <c r="AR35" s="76"/>
      <c r="AS35" s="76"/>
      <c r="AT35" s="76"/>
      <c r="AU35" s="76"/>
      <c r="AV35" s="76"/>
      <c r="AW35" s="76"/>
      <c r="AX35" s="76"/>
      <c r="AY35" s="76"/>
      <c r="AZ35" s="76"/>
      <c r="BA35" s="76"/>
      <c r="BB35" s="76"/>
      <c r="BC35" s="33"/>
      <c r="BD35" s="33"/>
      <c r="BE35" s="35" t="s">
        <v>126</v>
      </c>
      <c r="BL35" s="50"/>
      <c r="BM35" s="50"/>
      <c r="BN35" s="50"/>
      <c r="BO35" s="50"/>
      <c r="BP35" s="50"/>
      <c r="BQ35" s="50"/>
      <c r="CB35" s="63">
        <v>18</v>
      </c>
      <c r="CC35" s="63">
        <f>data!$D39</f>
        <v>32</v>
      </c>
      <c r="CD35" s="63">
        <f>data!$E39</f>
        <v>35</v>
      </c>
      <c r="CE35" s="70">
        <f t="shared" si="0"/>
        <v>4400</v>
      </c>
      <c r="CF35" s="71">
        <f t="shared" si="1"/>
        <v>1</v>
      </c>
      <c r="CG35" s="71">
        <f t="shared" si="2"/>
        <v>1</v>
      </c>
      <c r="CH35" s="71">
        <f t="shared" si="3"/>
        <v>0.44509684663609994</v>
      </c>
      <c r="CI35" s="72">
        <f t="shared" si="4"/>
        <v>5725</v>
      </c>
      <c r="CJ35" s="72">
        <f t="shared" si="5"/>
        <v>2748.1197771587745</v>
      </c>
      <c r="CK35" s="70">
        <f t="shared" si="6"/>
        <v>154000</v>
      </c>
      <c r="CL35" s="72">
        <f t="shared" si="7"/>
        <v>1460</v>
      </c>
      <c r="CM35" s="72">
        <f t="shared" si="8"/>
        <v>607.28665207877452</v>
      </c>
      <c r="CN35" s="45">
        <f t="shared" si="9"/>
        <v>3.9212328767123288</v>
      </c>
      <c r="CO35" s="45">
        <f t="shared" si="10"/>
        <v>4.5252431742930863</v>
      </c>
      <c r="CP35" s="72">
        <f t="shared" si="11"/>
        <v>0</v>
      </c>
      <c r="CQ35" s="72">
        <f t="shared" si="12"/>
        <v>1080.459977755751</v>
      </c>
      <c r="CR35" s="72">
        <f t="shared" si="13"/>
        <v>0</v>
      </c>
      <c r="CS35" s="70">
        <f t="shared" si="14"/>
        <v>37816.099221451281</v>
      </c>
    </row>
    <row r="36" spans="1:97" ht="12" customHeight="1">
      <c r="A36" s="31"/>
      <c r="B36" s="31"/>
      <c r="C36" s="31"/>
      <c r="D36" s="31"/>
      <c r="E36" s="31"/>
      <c r="F36" s="31"/>
      <c r="G36" s="31"/>
      <c r="H36" s="31"/>
      <c r="I36" s="31"/>
      <c r="J36" s="31"/>
      <c r="K36" s="31"/>
      <c r="L36" s="31"/>
      <c r="M36" s="31"/>
      <c r="N36" s="31"/>
      <c r="O36" s="31"/>
      <c r="P36" s="31"/>
      <c r="Q36" s="31"/>
      <c r="R36" s="31"/>
      <c r="S36" s="31"/>
      <c r="T36" s="31"/>
      <c r="U36" s="108" t="str">
        <f>'Variable Capacity unit'!$U$40</f>
        <v>CSPF</v>
      </c>
      <c r="V36" s="108"/>
      <c r="W36" s="108"/>
      <c r="X36" s="108"/>
      <c r="Y36" s="111">
        <f>'Two-stage Capacity unit'!$CF$112</f>
        <v>3.9629309211920294</v>
      </c>
      <c r="Z36" s="111"/>
      <c r="AA36" s="111"/>
      <c r="AB36" s="111"/>
      <c r="AC36" s="147">
        <f>'Two-stage Capacity unit'!CF172</f>
        <v>3.9629309211920294</v>
      </c>
      <c r="AD36" s="147"/>
      <c r="AE36" s="147"/>
      <c r="AF36" s="147"/>
      <c r="AG36" s="31"/>
      <c r="AH36" s="31"/>
      <c r="AI36" s="31" t="str">
        <f>'Variable Capacity unit'!$AI$41</f>
        <v>(35℃）</v>
      </c>
      <c r="AJ36" s="31"/>
      <c r="AK36" s="109" t="str">
        <f>'Variable Capacity unit'!$AK$41</f>
        <v>Full</v>
      </c>
      <c r="AL36" s="109"/>
      <c r="AM36" s="109"/>
      <c r="AN36" s="109"/>
      <c r="AO36" s="109"/>
      <c r="AP36" s="109"/>
      <c r="AQ36" s="105" t="s">
        <v>44</v>
      </c>
      <c r="AR36" s="105"/>
      <c r="AS36" s="105"/>
      <c r="AT36" s="105"/>
      <c r="AU36" s="105"/>
      <c r="AV36" s="105"/>
      <c r="AW36" s="105"/>
      <c r="AX36" s="105"/>
      <c r="AY36" s="105"/>
      <c r="AZ36" s="105"/>
      <c r="BA36" s="105"/>
      <c r="BB36" s="105"/>
      <c r="BC36" s="33"/>
      <c r="BD36" s="33"/>
      <c r="BE36" s="35" t="s">
        <v>126</v>
      </c>
      <c r="BL36" s="84"/>
      <c r="BM36" s="84"/>
      <c r="BN36" s="84"/>
      <c r="BO36" s="84"/>
      <c r="BP36" s="84"/>
      <c r="BQ36" s="84"/>
      <c r="CB36" s="63">
        <v>19</v>
      </c>
      <c r="CC36" s="63">
        <f>data!$D40</f>
        <v>33</v>
      </c>
      <c r="CD36" s="63">
        <f>data!$E40</f>
        <v>11</v>
      </c>
      <c r="CE36" s="70">
        <f t="shared" si="0"/>
        <v>4766.666666666667</v>
      </c>
      <c r="CF36" s="71">
        <f t="shared" si="1"/>
        <v>1</v>
      </c>
      <c r="CG36" s="71">
        <f t="shared" si="2"/>
        <v>1</v>
      </c>
      <c r="CH36" s="71">
        <f t="shared" si="3"/>
        <v>0.30087921819159358</v>
      </c>
      <c r="CI36" s="72">
        <f t="shared" si="4"/>
        <v>5650</v>
      </c>
      <c r="CJ36" s="72">
        <f t="shared" si="5"/>
        <v>2714.1597028783658</v>
      </c>
      <c r="CK36" s="70">
        <f t="shared" si="6"/>
        <v>52433.333333333336</v>
      </c>
      <c r="CL36" s="72">
        <f t="shared" si="7"/>
        <v>1480</v>
      </c>
      <c r="CM36" s="72">
        <f t="shared" si="8"/>
        <v>616.38220277169944</v>
      </c>
      <c r="CN36" s="45">
        <f t="shared" si="9"/>
        <v>3.8175675675675675</v>
      </c>
      <c r="CO36" s="45">
        <f t="shared" si="10"/>
        <v>4.4033713022107781</v>
      </c>
      <c r="CP36" s="72">
        <f t="shared" si="11"/>
        <v>0</v>
      </c>
      <c r="CQ36" s="72">
        <f t="shared" si="12"/>
        <v>1220.1553523536027</v>
      </c>
      <c r="CR36" s="72">
        <f t="shared" si="13"/>
        <v>0</v>
      </c>
      <c r="CS36" s="70">
        <f t="shared" si="14"/>
        <v>13421.70887588963</v>
      </c>
    </row>
    <row r="37" spans="1:97" ht="12" customHeight="1">
      <c r="A37" s="31"/>
      <c r="B37" s="31"/>
      <c r="C37" s="31"/>
      <c r="D37" s="31" t="str">
        <f>'Variable Capacity unit'!$D$43</f>
        <v>Medium condition ( 29℃ ）</v>
      </c>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109" t="str">
        <f>'Variable Capacity unit'!$AK$43</f>
        <v>Minimum</v>
      </c>
      <c r="AL37" s="109"/>
      <c r="AM37" s="109"/>
      <c r="AN37" s="109"/>
      <c r="AO37" s="109"/>
      <c r="AP37" s="109"/>
      <c r="AQ37" s="105" t="s">
        <v>44</v>
      </c>
      <c r="AR37" s="105"/>
      <c r="AS37" s="105"/>
      <c r="AT37" s="105"/>
      <c r="AU37" s="105"/>
      <c r="AV37" s="105"/>
      <c r="AW37" s="105"/>
      <c r="AX37" s="105"/>
      <c r="AY37" s="105"/>
      <c r="AZ37" s="105"/>
      <c r="BA37" s="105"/>
      <c r="BB37" s="105"/>
      <c r="BC37" s="33"/>
      <c r="BD37" s="33"/>
      <c r="BE37" s="35" t="s">
        <v>126</v>
      </c>
      <c r="BL37" s="84"/>
      <c r="BM37" s="84"/>
      <c r="BN37" s="84"/>
      <c r="BO37" s="84"/>
      <c r="BP37" s="84"/>
      <c r="BQ37" s="84"/>
      <c r="CB37" s="63">
        <v>20</v>
      </c>
      <c r="CC37" s="63">
        <f>data!$D41</f>
        <v>34</v>
      </c>
      <c r="CD37" s="63">
        <f>data!$E41</f>
        <v>6</v>
      </c>
      <c r="CE37" s="70">
        <f t="shared" si="0"/>
        <v>5133.333333333333</v>
      </c>
      <c r="CF37" s="71">
        <f t="shared" si="1"/>
        <v>1</v>
      </c>
      <c r="CG37" s="71">
        <f t="shared" si="2"/>
        <v>1</v>
      </c>
      <c r="CH37" s="71">
        <f t="shared" si="3"/>
        <v>0.15257240914776932</v>
      </c>
      <c r="CI37" s="72">
        <f t="shared" si="4"/>
        <v>5575</v>
      </c>
      <c r="CJ37" s="72">
        <f t="shared" si="5"/>
        <v>2680.1996285979576</v>
      </c>
      <c r="CK37" s="70">
        <f t="shared" si="6"/>
        <v>30800</v>
      </c>
      <c r="CL37" s="72">
        <f t="shared" si="7"/>
        <v>1500</v>
      </c>
      <c r="CM37" s="72">
        <f t="shared" si="8"/>
        <v>625.47775346462436</v>
      </c>
      <c r="CN37" s="45">
        <f t="shared" si="9"/>
        <v>3.7166666666666668</v>
      </c>
      <c r="CO37" s="45">
        <f t="shared" si="10"/>
        <v>4.2850438944501068</v>
      </c>
      <c r="CP37" s="72">
        <f t="shared" si="11"/>
        <v>0</v>
      </c>
      <c r="CQ37" s="72">
        <f t="shared" si="12"/>
        <v>1366.5720339927782</v>
      </c>
      <c r="CR37" s="72">
        <f t="shared" si="13"/>
        <v>0</v>
      </c>
      <c r="CS37" s="70">
        <f t="shared" si="14"/>
        <v>8199.4322039566687</v>
      </c>
    </row>
    <row r="38" spans="1:97" ht="12" customHeight="1">
      <c r="A38" s="31"/>
      <c r="B38" s="31"/>
      <c r="C38" s="31"/>
      <c r="D38" s="31"/>
      <c r="E38" s="31"/>
      <c r="F38" s="31"/>
      <c r="G38" s="31"/>
      <c r="H38" s="154" t="str">
        <f>'Variable Capacity unit'!$H$8</f>
        <v>Capacity [W]</v>
      </c>
      <c r="I38" s="154"/>
      <c r="J38" s="154"/>
      <c r="K38" s="154"/>
      <c r="L38" s="154" t="str">
        <f>'Variable Capacity unit'!$L$8</f>
        <v>Power [W]</v>
      </c>
      <c r="M38" s="154"/>
      <c r="N38" s="154"/>
      <c r="O38" s="154"/>
      <c r="P38" s="103" t="str">
        <f>'Variable Capacity unit'!$P$8</f>
        <v>EER</v>
      </c>
      <c r="Q38" s="104"/>
      <c r="R38" s="31"/>
      <c r="S38" s="31"/>
      <c r="T38" s="31"/>
      <c r="U38" s="108" t="str">
        <f>'Variable Capacity unit'!$U$42</f>
        <v>CD</v>
      </c>
      <c r="V38" s="108"/>
      <c r="W38" s="108"/>
      <c r="X38" s="108"/>
      <c r="Y38" s="147">
        <f>'Two-stage Capacity unit'!$CH$114</f>
        <v>0.27</v>
      </c>
      <c r="Z38" s="147"/>
      <c r="AA38" s="147"/>
      <c r="AB38" s="147"/>
      <c r="AC38" s="147">
        <f>'Two-stage Capacity unit'!CH174</f>
        <v>0.27</v>
      </c>
      <c r="AD38" s="108"/>
      <c r="AE38" s="108"/>
      <c r="AF38" s="108"/>
      <c r="AG38" s="31"/>
      <c r="AH38" s="31"/>
      <c r="AI38" s="31"/>
      <c r="AJ38" s="31"/>
      <c r="AK38" s="31"/>
      <c r="AL38" s="31"/>
      <c r="AM38" s="31"/>
      <c r="AN38" s="31"/>
      <c r="AO38" s="31"/>
      <c r="AP38" s="31"/>
      <c r="AQ38" s="76"/>
      <c r="AR38" s="76"/>
      <c r="AS38" s="76"/>
      <c r="AT38" s="76"/>
      <c r="AU38" s="76"/>
      <c r="AV38" s="87"/>
      <c r="AW38" s="76"/>
      <c r="AX38" s="76"/>
      <c r="AY38" s="76"/>
      <c r="AZ38" s="76"/>
      <c r="BA38" s="76"/>
      <c r="BB38" s="76"/>
      <c r="BC38" s="33"/>
      <c r="BD38" s="33"/>
      <c r="BE38" s="35" t="s">
        <v>126</v>
      </c>
      <c r="BL38" s="50"/>
      <c r="BM38" s="50"/>
      <c r="BN38" s="50"/>
      <c r="BO38" s="50"/>
      <c r="BP38" s="50"/>
      <c r="BQ38" s="50"/>
      <c r="CB38" s="63">
        <v>21</v>
      </c>
      <c r="CC38" s="63">
        <f>data!$D42</f>
        <v>35</v>
      </c>
      <c r="CD38" s="63">
        <f>data!$E42</f>
        <v>4</v>
      </c>
      <c r="CE38" s="70">
        <f t="shared" si="0"/>
        <v>5500</v>
      </c>
      <c r="CF38" s="71">
        <f t="shared" si="1"/>
        <v>1</v>
      </c>
      <c r="CG38" s="71">
        <f t="shared" si="2"/>
        <v>1</v>
      </c>
      <c r="CH38" s="71">
        <f t="shared" si="3"/>
        <v>0</v>
      </c>
      <c r="CI38" s="72">
        <f t="shared" si="4"/>
        <v>5500</v>
      </c>
      <c r="CJ38" s="72">
        <f t="shared" si="5"/>
        <v>2646.2395543175489</v>
      </c>
      <c r="CK38" s="70">
        <f t="shared" si="6"/>
        <v>22000</v>
      </c>
      <c r="CL38" s="72">
        <f t="shared" si="7"/>
        <v>1520</v>
      </c>
      <c r="CM38" s="72">
        <f t="shared" si="8"/>
        <v>634.57330415754916</v>
      </c>
      <c r="CN38" s="45">
        <f t="shared" si="9"/>
        <v>3.6184210526315788</v>
      </c>
      <c r="CO38" s="45">
        <f t="shared" si="10"/>
        <v>4.1701085390452413</v>
      </c>
      <c r="CP38" s="72">
        <f t="shared" si="11"/>
        <v>0</v>
      </c>
      <c r="CQ38" s="72">
        <f t="shared" si="12"/>
        <v>1520</v>
      </c>
      <c r="CR38" s="72">
        <f t="shared" si="13"/>
        <v>0</v>
      </c>
      <c r="CS38" s="70">
        <f t="shared" si="14"/>
        <v>6080</v>
      </c>
    </row>
    <row r="39" spans="1:97" ht="12" customHeight="1">
      <c r="A39" s="31"/>
      <c r="B39" s="31"/>
      <c r="C39" s="31"/>
      <c r="D39" s="123" t="str">
        <f>'Variable Capacity unit'!$D$45</f>
        <v>Full</v>
      </c>
      <c r="E39" s="124"/>
      <c r="F39" s="124"/>
      <c r="G39" s="125"/>
      <c r="H39" s="140">
        <v>5950</v>
      </c>
      <c r="I39" s="140"/>
      <c r="J39" s="140"/>
      <c r="K39" s="140"/>
      <c r="L39" s="140">
        <v>1400</v>
      </c>
      <c r="M39" s="140"/>
      <c r="N39" s="140"/>
      <c r="O39" s="140"/>
      <c r="P39" s="147">
        <f>$H$39/$L$39</f>
        <v>4.25</v>
      </c>
      <c r="Q39" s="108"/>
      <c r="R39" s="31"/>
      <c r="S39" s="31"/>
      <c r="T39" s="31"/>
      <c r="U39" s="31"/>
      <c r="V39" s="31"/>
      <c r="W39" s="31"/>
      <c r="X39" s="31"/>
      <c r="Y39" s="31"/>
      <c r="Z39" s="31"/>
      <c r="AA39" s="31"/>
      <c r="AB39" s="31"/>
      <c r="AC39" s="31"/>
      <c r="AD39" s="31"/>
      <c r="AE39" s="31"/>
      <c r="AF39" s="31"/>
      <c r="AG39" s="31"/>
      <c r="AH39" s="31"/>
      <c r="AI39" s="31" t="str">
        <f>'Variable Capacity unit'!$AI$44</f>
        <v>(29℃）</v>
      </c>
      <c r="AJ39" s="31"/>
      <c r="AK39" s="109" t="str">
        <f>'Variable Capacity unit'!$AK$44</f>
        <v>Full</v>
      </c>
      <c r="AL39" s="109"/>
      <c r="AM39" s="109"/>
      <c r="AN39" s="109"/>
      <c r="AO39" s="109"/>
      <c r="AP39" s="109"/>
      <c r="AQ39" s="57"/>
      <c r="AR39" s="101" t="s">
        <v>108</v>
      </c>
      <c r="AS39" s="101"/>
      <c r="AT39" s="101"/>
      <c r="AU39" s="101"/>
      <c r="AV39" s="102"/>
      <c r="AW39" s="57"/>
      <c r="AX39" s="101" t="s">
        <v>109</v>
      </c>
      <c r="AY39" s="101"/>
      <c r="AZ39" s="101"/>
      <c r="BA39" s="101"/>
      <c r="BB39" s="102"/>
      <c r="BC39" s="81">
        <v>1</v>
      </c>
      <c r="BD39" s="33" t="str">
        <f>IF($BC$28=2,IF($BC$39=2,"Measure","Default"),"Default")</f>
        <v>Default</v>
      </c>
      <c r="BE39" s="35" t="s">
        <v>126</v>
      </c>
      <c r="BL39" s="84"/>
      <c r="BM39" s="84"/>
      <c r="BN39" s="84"/>
      <c r="BO39" s="84"/>
      <c r="BP39" s="84"/>
      <c r="BQ39" s="84"/>
      <c r="CB39" s="63">
        <v>22</v>
      </c>
      <c r="CC39" s="63">
        <f>data!$D43</f>
        <v>36</v>
      </c>
      <c r="CD39" s="63">
        <f>data!$E43</f>
        <v>0</v>
      </c>
      <c r="CE39" s="70">
        <f t="shared" si="0"/>
        <v>5866.666666666667</v>
      </c>
      <c r="CF39" s="71">
        <f t="shared" si="1"/>
        <v>1</v>
      </c>
      <c r="CG39" s="71">
        <f t="shared" si="2"/>
        <v>1</v>
      </c>
      <c r="CH39" s="71">
        <f t="shared" si="3"/>
        <v>0</v>
      </c>
      <c r="CI39" s="72">
        <f t="shared" si="4"/>
        <v>5425</v>
      </c>
      <c r="CJ39" s="72">
        <f t="shared" si="5"/>
        <v>2612.2794800371403</v>
      </c>
      <c r="CK39" s="70">
        <f t="shared" si="6"/>
        <v>0</v>
      </c>
      <c r="CL39" s="72">
        <f t="shared" si="7"/>
        <v>1540</v>
      </c>
      <c r="CM39" s="72">
        <f t="shared" si="8"/>
        <v>643.66885485047396</v>
      </c>
      <c r="CN39" s="45">
        <f t="shared" si="9"/>
        <v>3.5227272727272729</v>
      </c>
      <c r="CO39" s="45">
        <f t="shared" si="10"/>
        <v>4.05842143883749</v>
      </c>
      <c r="CP39" s="72">
        <f t="shared" si="11"/>
        <v>0</v>
      </c>
      <c r="CQ39" s="72">
        <f t="shared" si="12"/>
        <v>0</v>
      </c>
      <c r="CR39" s="72">
        <f t="shared" si="13"/>
        <v>1540</v>
      </c>
      <c r="CS39" s="70">
        <f t="shared" si="14"/>
        <v>0</v>
      </c>
    </row>
    <row r="40" spans="1:97" ht="12" customHeight="1">
      <c r="A40" s="31"/>
      <c r="B40" s="31"/>
      <c r="C40" s="31"/>
      <c r="D40" s="123" t="str">
        <f>'Variable Capacity unit'!$D$47</f>
        <v>Minimum</v>
      </c>
      <c r="E40" s="124"/>
      <c r="F40" s="124"/>
      <c r="G40" s="125"/>
      <c r="H40" s="140">
        <v>2850</v>
      </c>
      <c r="I40" s="140"/>
      <c r="J40" s="140"/>
      <c r="K40" s="140"/>
      <c r="L40" s="140">
        <v>580</v>
      </c>
      <c r="M40" s="140"/>
      <c r="N40" s="140"/>
      <c r="O40" s="140"/>
      <c r="P40" s="147">
        <f>$H$40/$L$40</f>
        <v>4.9137931034482758</v>
      </c>
      <c r="Q40" s="108"/>
      <c r="R40" s="31"/>
      <c r="S40" s="31"/>
      <c r="T40" s="31"/>
      <c r="U40" s="31"/>
      <c r="V40" s="31"/>
      <c r="W40" s="31"/>
      <c r="X40" s="31"/>
      <c r="Y40" s="31"/>
      <c r="Z40" s="31"/>
      <c r="AA40" s="31"/>
      <c r="AB40" s="31"/>
      <c r="AC40" s="31"/>
      <c r="AD40" s="31"/>
      <c r="AE40" s="31"/>
      <c r="AF40" s="31"/>
      <c r="AG40" s="31"/>
      <c r="AH40" s="31"/>
      <c r="AI40" s="31"/>
      <c r="AJ40" s="31"/>
      <c r="AK40" s="109" t="str">
        <f>'Variable Capacity unit'!$AK$46</f>
        <v>Minimum</v>
      </c>
      <c r="AL40" s="109"/>
      <c r="AM40" s="109"/>
      <c r="AN40" s="109"/>
      <c r="AO40" s="109"/>
      <c r="AP40" s="109"/>
      <c r="AQ40" s="57"/>
      <c r="AR40" s="101" t="s">
        <v>108</v>
      </c>
      <c r="AS40" s="101"/>
      <c r="AT40" s="101"/>
      <c r="AU40" s="101"/>
      <c r="AV40" s="102"/>
      <c r="AW40" s="57"/>
      <c r="AX40" s="101" t="s">
        <v>109</v>
      </c>
      <c r="AY40" s="101"/>
      <c r="AZ40" s="101"/>
      <c r="BA40" s="101"/>
      <c r="BB40" s="102"/>
      <c r="BC40" s="81">
        <v>1</v>
      </c>
      <c r="BD40" s="33" t="str">
        <f>IF($BC$28=2,IF($BC$40=2,"Measure","Default"),"Default")</f>
        <v>Default</v>
      </c>
      <c r="BE40" s="35" t="s">
        <v>126</v>
      </c>
      <c r="BL40" s="84"/>
      <c r="BM40" s="84"/>
      <c r="BN40" s="84"/>
      <c r="BO40" s="84"/>
      <c r="BP40" s="84"/>
      <c r="BQ40" s="84"/>
      <c r="CB40" s="63">
        <v>23</v>
      </c>
      <c r="CC40" s="63">
        <f>data!$D44</f>
        <v>37</v>
      </c>
      <c r="CD40" s="63">
        <f>data!$E44</f>
        <v>0</v>
      </c>
      <c r="CE40" s="70">
        <f t="shared" si="0"/>
        <v>6233.333333333333</v>
      </c>
      <c r="CF40" s="71">
        <f t="shared" si="1"/>
        <v>1</v>
      </c>
      <c r="CG40" s="71">
        <f t="shared" si="2"/>
        <v>1</v>
      </c>
      <c r="CH40" s="71">
        <f t="shared" si="3"/>
        <v>0</v>
      </c>
      <c r="CI40" s="72">
        <f t="shared" si="4"/>
        <v>5350</v>
      </c>
      <c r="CJ40" s="72">
        <f t="shared" si="5"/>
        <v>2578.3194057567321</v>
      </c>
      <c r="CK40" s="70">
        <f t="shared" si="6"/>
        <v>0</v>
      </c>
      <c r="CL40" s="72">
        <f t="shared" si="7"/>
        <v>1560</v>
      </c>
      <c r="CM40" s="72">
        <f t="shared" si="8"/>
        <v>652.76440554339888</v>
      </c>
      <c r="CN40" s="45">
        <f t="shared" si="9"/>
        <v>3.4294871794871793</v>
      </c>
      <c r="CO40" s="45">
        <f t="shared" si="10"/>
        <v>3.9498468112862093</v>
      </c>
      <c r="CP40" s="72">
        <f t="shared" si="11"/>
        <v>0</v>
      </c>
      <c r="CQ40" s="72">
        <f t="shared" si="12"/>
        <v>0</v>
      </c>
      <c r="CR40" s="72">
        <f t="shared" si="13"/>
        <v>1560</v>
      </c>
      <c r="CS40" s="70">
        <f t="shared" si="14"/>
        <v>0</v>
      </c>
    </row>
    <row r="41" spans="1:97" ht="12" customHeight="1">
      <c r="A41" s="31"/>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76"/>
      <c r="AR41" s="76"/>
      <c r="AS41" s="76"/>
      <c r="AT41" s="76"/>
      <c r="AU41" s="87"/>
      <c r="AV41" s="87"/>
      <c r="AW41" s="76"/>
      <c r="AX41" s="76"/>
      <c r="AY41" s="76"/>
      <c r="AZ41" s="76"/>
      <c r="BA41" s="76"/>
      <c r="BB41" s="76"/>
      <c r="BC41" s="33"/>
      <c r="BD41" s="33"/>
      <c r="BE41" s="35" t="s">
        <v>126</v>
      </c>
      <c r="BL41" s="50"/>
      <c r="BM41" s="50"/>
      <c r="BN41" s="50"/>
      <c r="BO41" s="50"/>
      <c r="BP41" s="50"/>
      <c r="BQ41" s="50"/>
      <c r="CB41" s="63">
        <v>24</v>
      </c>
      <c r="CC41" s="63">
        <f>data!$D45</f>
        <v>38</v>
      </c>
      <c r="CD41" s="63">
        <f>data!$E45</f>
        <v>0</v>
      </c>
      <c r="CE41" s="70">
        <f t="shared" si="0"/>
        <v>6600</v>
      </c>
      <c r="CF41" s="71">
        <f t="shared" si="1"/>
        <v>1</v>
      </c>
      <c r="CG41" s="71">
        <f t="shared" si="2"/>
        <v>1</v>
      </c>
      <c r="CH41" s="71">
        <f t="shared" si="3"/>
        <v>0</v>
      </c>
      <c r="CI41" s="72">
        <f t="shared" si="4"/>
        <v>5275</v>
      </c>
      <c r="CJ41" s="72">
        <f t="shared" si="5"/>
        <v>2544.3593314763234</v>
      </c>
      <c r="CK41" s="70">
        <f t="shared" si="6"/>
        <v>0</v>
      </c>
      <c r="CL41" s="72">
        <f t="shared" si="7"/>
        <v>1580</v>
      </c>
      <c r="CM41" s="72">
        <f t="shared" si="8"/>
        <v>661.8599562363238</v>
      </c>
      <c r="CN41" s="45">
        <f t="shared" si="9"/>
        <v>3.3386075949367089</v>
      </c>
      <c r="CO41" s="45">
        <f t="shared" si="10"/>
        <v>3.8442563377679768</v>
      </c>
      <c r="CP41" s="72">
        <f t="shared" si="11"/>
        <v>0</v>
      </c>
      <c r="CQ41" s="72">
        <f t="shared" si="12"/>
        <v>0</v>
      </c>
      <c r="CR41" s="72">
        <f t="shared" si="13"/>
        <v>1580</v>
      </c>
      <c r="CS41" s="70">
        <f t="shared" si="14"/>
        <v>0</v>
      </c>
    </row>
    <row r="42" spans="1:97" ht="12" customHeight="1">
      <c r="A42" s="31"/>
      <c r="B42" s="31"/>
      <c r="C42" s="31"/>
      <c r="D42" s="31" t="str">
        <f>'Variable Capacity unit'!$D$49</f>
        <v>Low humidity and Cyclic condition ( 35℃ )</v>
      </c>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t="str">
        <f>'Variable Capacity unit'!$AI$49</f>
        <v>(35℃ Low Humidity and cyclic)</v>
      </c>
      <c r="AJ42" s="31"/>
      <c r="AK42" s="31"/>
      <c r="AL42" s="31"/>
      <c r="AM42" s="31"/>
      <c r="AN42" s="31"/>
      <c r="AO42" s="31"/>
      <c r="AP42" s="31"/>
      <c r="AQ42" s="76"/>
      <c r="AR42" s="76"/>
      <c r="AS42" s="76"/>
      <c r="AT42" s="76"/>
      <c r="AU42" s="87"/>
      <c r="AV42" s="87"/>
      <c r="AW42" s="76"/>
      <c r="AX42" s="76"/>
      <c r="AY42" s="76"/>
      <c r="AZ42" s="76"/>
      <c r="BA42" s="76"/>
      <c r="BB42" s="76"/>
      <c r="BC42" s="33"/>
      <c r="BD42" s="33"/>
      <c r="BE42" s="35" t="s">
        <v>126</v>
      </c>
      <c r="BL42" s="50"/>
      <c r="BM42" s="50"/>
      <c r="BN42" s="50"/>
      <c r="BO42" s="50"/>
      <c r="BP42" s="50"/>
      <c r="BQ42" s="50"/>
      <c r="CB42" s="63">
        <v>25</v>
      </c>
      <c r="CC42" s="63">
        <f>data!$D46</f>
        <v>39</v>
      </c>
      <c r="CD42" s="63">
        <f>data!$E46</f>
        <v>0</v>
      </c>
      <c r="CE42" s="70">
        <f t="shared" si="0"/>
        <v>6966.666666666667</v>
      </c>
      <c r="CF42" s="71">
        <f t="shared" si="1"/>
        <v>1</v>
      </c>
      <c r="CG42" s="71">
        <f t="shared" si="2"/>
        <v>1</v>
      </c>
      <c r="CH42" s="71">
        <f t="shared" si="3"/>
        <v>0</v>
      </c>
      <c r="CI42" s="72">
        <f t="shared" si="4"/>
        <v>5200</v>
      </c>
      <c r="CJ42" s="72">
        <f t="shared" si="5"/>
        <v>2510.3992571959147</v>
      </c>
      <c r="CK42" s="70">
        <f t="shared" si="6"/>
        <v>0</v>
      </c>
      <c r="CL42" s="72">
        <f t="shared" si="7"/>
        <v>1600</v>
      </c>
      <c r="CM42" s="72">
        <f t="shared" si="8"/>
        <v>670.9555069292486</v>
      </c>
      <c r="CN42" s="45">
        <f t="shared" si="9"/>
        <v>3.25</v>
      </c>
      <c r="CO42" s="45">
        <f t="shared" si="10"/>
        <v>3.7415286576679563</v>
      </c>
      <c r="CP42" s="72">
        <f t="shared" si="11"/>
        <v>0</v>
      </c>
      <c r="CQ42" s="72">
        <f t="shared" si="12"/>
        <v>0</v>
      </c>
      <c r="CR42" s="72">
        <f t="shared" si="13"/>
        <v>1600</v>
      </c>
      <c r="CS42" s="70">
        <f t="shared" si="14"/>
        <v>0</v>
      </c>
    </row>
    <row r="43" spans="1:97" ht="12" customHeight="1">
      <c r="A43" s="31"/>
      <c r="B43" s="31"/>
      <c r="C43" s="31"/>
      <c r="D43" s="31"/>
      <c r="E43" s="31"/>
      <c r="F43" s="31"/>
      <c r="G43" s="31"/>
      <c r="H43" s="154" t="str">
        <f>'Variable Capacity unit'!$H$8</f>
        <v>Capacity [W]</v>
      </c>
      <c r="I43" s="154"/>
      <c r="J43" s="154"/>
      <c r="K43" s="154"/>
      <c r="L43" s="154" t="str">
        <f>'Variable Capacity unit'!$L$8</f>
        <v>Power [W]</v>
      </c>
      <c r="M43" s="154"/>
      <c r="N43" s="154"/>
      <c r="O43" s="154"/>
      <c r="P43" s="103" t="str">
        <f>'Variable Capacity unit'!$P$8</f>
        <v>EER</v>
      </c>
      <c r="Q43" s="104"/>
      <c r="R43" s="31"/>
      <c r="S43" s="31"/>
      <c r="T43" s="31"/>
      <c r="U43" s="31"/>
      <c r="V43" s="31"/>
      <c r="W43" s="31"/>
      <c r="X43" s="31"/>
      <c r="Y43" s="31"/>
      <c r="Z43" s="31"/>
      <c r="AA43" s="31"/>
      <c r="AB43" s="31"/>
      <c r="AC43" s="31"/>
      <c r="AD43" s="31"/>
      <c r="AE43" s="31"/>
      <c r="AF43" s="31"/>
      <c r="AG43" s="31"/>
      <c r="AH43" s="31"/>
      <c r="AI43" s="31"/>
      <c r="AJ43" s="31"/>
      <c r="AK43" s="108" t="str">
        <f>'Variable Capacity unit'!$AK$52</f>
        <v>Min Dry Coil</v>
      </c>
      <c r="AL43" s="108"/>
      <c r="AM43" s="108"/>
      <c r="AN43" s="108"/>
      <c r="AO43" s="108"/>
      <c r="AP43" s="108"/>
      <c r="AQ43" s="89"/>
      <c r="AR43" s="157" t="s">
        <v>108</v>
      </c>
      <c r="AS43" s="157"/>
      <c r="AT43" s="157"/>
      <c r="AU43" s="157"/>
      <c r="AV43" s="158"/>
      <c r="AW43" s="89"/>
      <c r="AX43" s="157" t="s">
        <v>109</v>
      </c>
      <c r="AY43" s="157"/>
      <c r="AZ43" s="157"/>
      <c r="BA43" s="157"/>
      <c r="BB43" s="158"/>
      <c r="BC43" s="81">
        <v>1</v>
      </c>
      <c r="BD43" s="33" t="str">
        <f>IF($BC$28=2,IF($BC$43=2,"Measure","Default"),"Default")</f>
        <v>Default</v>
      </c>
      <c r="BE43" s="35" t="s">
        <v>126</v>
      </c>
      <c r="BL43" s="50"/>
      <c r="BM43" s="50"/>
      <c r="BN43" s="50"/>
      <c r="BO43" s="50"/>
      <c r="BP43" s="50"/>
      <c r="BQ43" s="50"/>
      <c r="CB43" s="63">
        <v>26</v>
      </c>
      <c r="CC43" s="63">
        <f>data!$D47</f>
        <v>40</v>
      </c>
      <c r="CD43" s="63">
        <f>data!$E47</f>
        <v>0</v>
      </c>
      <c r="CE43" s="70">
        <f t="shared" si="0"/>
        <v>7333.333333333333</v>
      </c>
      <c r="CF43" s="71">
        <f t="shared" si="1"/>
        <v>1</v>
      </c>
      <c r="CG43" s="71">
        <f t="shared" si="2"/>
        <v>1</v>
      </c>
      <c r="CH43" s="71">
        <f t="shared" si="3"/>
        <v>0</v>
      </c>
      <c r="CI43" s="72">
        <f t="shared" si="4"/>
        <v>5125</v>
      </c>
      <c r="CJ43" s="72">
        <f t="shared" si="5"/>
        <v>2476.4391829155065</v>
      </c>
      <c r="CK43" s="70">
        <f t="shared" si="6"/>
        <v>0</v>
      </c>
      <c r="CL43" s="72">
        <f t="shared" si="7"/>
        <v>1620</v>
      </c>
      <c r="CM43" s="72">
        <f t="shared" si="8"/>
        <v>680.0510576221734</v>
      </c>
      <c r="CN43" s="45">
        <f t="shared" si="9"/>
        <v>3.1635802469135803</v>
      </c>
      <c r="CO43" s="45">
        <f t="shared" si="10"/>
        <v>3.6415489030698347</v>
      </c>
      <c r="CP43" s="72">
        <f t="shared" si="11"/>
        <v>0</v>
      </c>
      <c r="CQ43" s="72">
        <f t="shared" si="12"/>
        <v>0</v>
      </c>
      <c r="CR43" s="72">
        <f t="shared" si="13"/>
        <v>1620</v>
      </c>
      <c r="CS43" s="70">
        <f t="shared" si="14"/>
        <v>0</v>
      </c>
    </row>
    <row r="44" spans="1:97" ht="12" customHeight="1">
      <c r="A44" s="31"/>
      <c r="B44" s="31"/>
      <c r="C44" s="31"/>
      <c r="D44" s="108" t="str">
        <f>'Variable Capacity unit'!$D$53</f>
        <v>Min Dry Coil</v>
      </c>
      <c r="E44" s="108"/>
      <c r="F44" s="108"/>
      <c r="G44" s="108"/>
      <c r="H44" s="140">
        <v>3300</v>
      </c>
      <c r="I44" s="140"/>
      <c r="J44" s="140"/>
      <c r="K44" s="140"/>
      <c r="L44" s="140">
        <v>580</v>
      </c>
      <c r="M44" s="140"/>
      <c r="N44" s="140"/>
      <c r="O44" s="140"/>
      <c r="P44" s="108">
        <f>$H$44/$L$44</f>
        <v>5.6896551724137927</v>
      </c>
      <c r="Q44" s="108"/>
      <c r="R44" s="31"/>
      <c r="S44" s="31"/>
      <c r="T44" s="31"/>
      <c r="U44" s="31"/>
      <c r="V44" s="31"/>
      <c r="W44" s="31"/>
      <c r="X44" s="31"/>
      <c r="Y44" s="31"/>
      <c r="Z44" s="31"/>
      <c r="AA44" s="31"/>
      <c r="AB44" s="31"/>
      <c r="AC44" s="31"/>
      <c r="AD44" s="31"/>
      <c r="AE44" s="31"/>
      <c r="AF44" s="31"/>
      <c r="AG44" s="31"/>
      <c r="AH44" s="31"/>
      <c r="AI44" s="31"/>
      <c r="AJ44" s="31"/>
      <c r="AK44" s="108" t="str">
        <f>'Variable Capacity unit'!$AK$53</f>
        <v>Min Cyclic</v>
      </c>
      <c r="AL44" s="108"/>
      <c r="AM44" s="108"/>
      <c r="AN44" s="108"/>
      <c r="AO44" s="108"/>
      <c r="AP44" s="108"/>
      <c r="AQ44" s="90"/>
      <c r="AR44" s="159"/>
      <c r="AS44" s="159"/>
      <c r="AT44" s="159"/>
      <c r="AU44" s="159"/>
      <c r="AV44" s="160"/>
      <c r="AW44" s="90"/>
      <c r="AX44" s="159"/>
      <c r="AY44" s="159"/>
      <c r="AZ44" s="159"/>
      <c r="BA44" s="159"/>
      <c r="BB44" s="160"/>
      <c r="BC44" s="33"/>
      <c r="BD44" s="33"/>
      <c r="BE44" s="35" t="s">
        <v>126</v>
      </c>
      <c r="BL44" s="50"/>
      <c r="BM44" s="50"/>
      <c r="BN44" s="50"/>
      <c r="BO44" s="50"/>
      <c r="BP44" s="50"/>
      <c r="BQ44" s="50"/>
      <c r="CB44" s="63">
        <v>27</v>
      </c>
      <c r="CC44" s="63">
        <f>data!$D48</f>
        <v>41</v>
      </c>
      <c r="CD44" s="63">
        <f>data!$E48</f>
        <v>0</v>
      </c>
      <c r="CE44" s="70">
        <f t="shared" si="0"/>
        <v>7700</v>
      </c>
      <c r="CF44" s="71">
        <f t="shared" si="1"/>
        <v>1</v>
      </c>
      <c r="CG44" s="71">
        <f t="shared" si="2"/>
        <v>1</v>
      </c>
      <c r="CH44" s="71">
        <f t="shared" si="3"/>
        <v>0</v>
      </c>
      <c r="CI44" s="72">
        <f t="shared" si="4"/>
        <v>5050</v>
      </c>
      <c r="CJ44" s="72">
        <f t="shared" si="5"/>
        <v>2442.4791086350979</v>
      </c>
      <c r="CK44" s="70">
        <f t="shared" si="6"/>
        <v>0</v>
      </c>
      <c r="CL44" s="72">
        <f t="shared" si="7"/>
        <v>1640</v>
      </c>
      <c r="CM44" s="72">
        <f t="shared" si="8"/>
        <v>689.14660831509832</v>
      </c>
      <c r="CN44" s="45">
        <f t="shared" si="9"/>
        <v>3.0792682926829267</v>
      </c>
      <c r="CO44" s="45">
        <f t="shared" si="10"/>
        <v>3.5442082702935163</v>
      </c>
      <c r="CP44" s="72">
        <f t="shared" si="11"/>
        <v>0</v>
      </c>
      <c r="CQ44" s="72">
        <f t="shared" si="12"/>
        <v>0</v>
      </c>
      <c r="CR44" s="72">
        <f t="shared" si="13"/>
        <v>1640</v>
      </c>
      <c r="CS44" s="70">
        <f t="shared" si="14"/>
        <v>0</v>
      </c>
    </row>
    <row r="45" spans="1:97" ht="12" customHeight="1">
      <c r="A45" s="31"/>
      <c r="B45" s="31"/>
      <c r="C45" s="31"/>
      <c r="D45" s="108" t="str">
        <f>'Variable Capacity unit'!$D$54</f>
        <v>Min Cyclic</v>
      </c>
      <c r="E45" s="108"/>
      <c r="F45" s="108"/>
      <c r="G45" s="108"/>
      <c r="H45" s="140">
        <v>2500</v>
      </c>
      <c r="I45" s="140"/>
      <c r="J45" s="140"/>
      <c r="K45" s="140"/>
      <c r="L45" s="140">
        <v>480</v>
      </c>
      <c r="M45" s="140"/>
      <c r="N45" s="140"/>
      <c r="O45" s="140"/>
      <c r="P45" s="147">
        <f>$H$45/$L$45</f>
        <v>5.208333333333333</v>
      </c>
      <c r="Q45" s="147"/>
      <c r="R45" s="31"/>
      <c r="S45" s="31"/>
      <c r="T45" s="31"/>
      <c r="U45" s="31"/>
      <c r="V45" s="31"/>
      <c r="W45" s="31"/>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76"/>
      <c r="BB45" s="76"/>
      <c r="BC45" s="78"/>
      <c r="BD45" s="78"/>
      <c r="BU45" s="88"/>
      <c r="BV45" s="88"/>
      <c r="CB45" s="63">
        <v>28</v>
      </c>
      <c r="CC45" s="63">
        <f>data!$D49</f>
        <v>42</v>
      </c>
      <c r="CD45" s="63">
        <f>data!$E49</f>
        <v>0</v>
      </c>
      <c r="CE45" s="70">
        <f t="shared" si="0"/>
        <v>8066.666666666667</v>
      </c>
      <c r="CF45" s="71">
        <f t="shared" si="1"/>
        <v>1</v>
      </c>
      <c r="CG45" s="71">
        <f t="shared" si="2"/>
        <v>1</v>
      </c>
      <c r="CH45" s="71">
        <f t="shared" si="3"/>
        <v>0</v>
      </c>
      <c r="CI45" s="72">
        <f t="shared" si="4"/>
        <v>4975</v>
      </c>
      <c r="CJ45" s="72">
        <f t="shared" si="5"/>
        <v>2408.5190343546892</v>
      </c>
      <c r="CK45" s="70">
        <f t="shared" si="6"/>
        <v>0</v>
      </c>
      <c r="CL45" s="72">
        <f t="shared" si="7"/>
        <v>1660</v>
      </c>
      <c r="CM45" s="72">
        <f t="shared" si="8"/>
        <v>698.24215900802324</v>
      </c>
      <c r="CN45" s="45">
        <f t="shared" si="9"/>
        <v>2.9969879518072289</v>
      </c>
      <c r="CO45" s="45">
        <f t="shared" si="10"/>
        <v>3.4494036249206399</v>
      </c>
      <c r="CP45" s="72">
        <f t="shared" si="11"/>
        <v>0</v>
      </c>
      <c r="CQ45" s="72">
        <f t="shared" si="12"/>
        <v>0</v>
      </c>
      <c r="CR45" s="72">
        <f t="shared" si="13"/>
        <v>1660</v>
      </c>
      <c r="CS45" s="70">
        <f t="shared" si="14"/>
        <v>0</v>
      </c>
    </row>
    <row r="46" spans="1:97" ht="12" customHeight="1">
      <c r="A46" s="31"/>
      <c r="B46" s="31"/>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76"/>
      <c r="BB46" s="76"/>
      <c r="BC46" s="78"/>
      <c r="BD46" s="78"/>
      <c r="BU46" s="88"/>
      <c r="BV46" s="88"/>
      <c r="CB46" s="63">
        <v>29</v>
      </c>
      <c r="CC46" s="63">
        <f>data!$D50</f>
        <v>43</v>
      </c>
      <c r="CD46" s="63">
        <f>data!$E50</f>
        <v>0</v>
      </c>
      <c r="CE46" s="70">
        <f t="shared" si="0"/>
        <v>8433.3333333333339</v>
      </c>
      <c r="CF46" s="71">
        <f t="shared" si="1"/>
        <v>1</v>
      </c>
      <c r="CG46" s="71">
        <f t="shared" si="2"/>
        <v>1</v>
      </c>
      <c r="CH46" s="71">
        <f t="shared" si="3"/>
        <v>0</v>
      </c>
      <c r="CI46" s="72">
        <f t="shared" si="4"/>
        <v>4900</v>
      </c>
      <c r="CJ46" s="72">
        <f t="shared" si="5"/>
        <v>2374.558960074281</v>
      </c>
      <c r="CK46" s="70">
        <f t="shared" si="6"/>
        <v>0</v>
      </c>
      <c r="CL46" s="72">
        <f t="shared" si="7"/>
        <v>1680</v>
      </c>
      <c r="CM46" s="72">
        <f t="shared" si="8"/>
        <v>707.33770970094804</v>
      </c>
      <c r="CN46" s="45">
        <f t="shared" si="9"/>
        <v>2.9166666666666665</v>
      </c>
      <c r="CO46" s="45">
        <f t="shared" si="10"/>
        <v>3.3570371372935983</v>
      </c>
      <c r="CP46" s="72">
        <f t="shared" si="11"/>
        <v>0</v>
      </c>
      <c r="CQ46" s="72">
        <f t="shared" si="12"/>
        <v>0</v>
      </c>
      <c r="CR46" s="72">
        <f t="shared" si="13"/>
        <v>1680</v>
      </c>
      <c r="CS46" s="70">
        <f t="shared" si="14"/>
        <v>0</v>
      </c>
    </row>
    <row r="47" spans="1:97" ht="12" customHeight="1">
      <c r="A47" s="31"/>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76"/>
      <c r="BB47" s="76"/>
      <c r="BC47" s="78"/>
      <c r="BD47" s="78"/>
      <c r="BU47" s="88"/>
      <c r="BV47" s="88"/>
      <c r="CB47" s="63">
        <v>30</v>
      </c>
      <c r="CC47" s="63">
        <f>data!$D51</f>
        <v>44</v>
      </c>
      <c r="CD47" s="63">
        <f>data!$E51</f>
        <v>0</v>
      </c>
      <c r="CE47" s="70">
        <f t="shared" si="0"/>
        <v>8800</v>
      </c>
      <c r="CF47" s="71">
        <f t="shared" si="1"/>
        <v>1</v>
      </c>
      <c r="CG47" s="71">
        <f t="shared" si="2"/>
        <v>1</v>
      </c>
      <c r="CH47" s="71">
        <f t="shared" si="3"/>
        <v>0</v>
      </c>
      <c r="CI47" s="72">
        <f t="shared" si="4"/>
        <v>4825</v>
      </c>
      <c r="CJ47" s="72">
        <f t="shared" si="5"/>
        <v>2340.5988857938723</v>
      </c>
      <c r="CK47" s="70">
        <f t="shared" si="6"/>
        <v>0</v>
      </c>
      <c r="CL47" s="72">
        <f t="shared" si="7"/>
        <v>1700</v>
      </c>
      <c r="CM47" s="72">
        <f t="shared" si="8"/>
        <v>716.43326039387284</v>
      </c>
      <c r="CN47" s="45">
        <f t="shared" si="9"/>
        <v>2.8382352941176472</v>
      </c>
      <c r="CO47" s="45">
        <f t="shared" si="10"/>
        <v>3.2670159457799088</v>
      </c>
      <c r="CP47" s="72">
        <f t="shared" si="11"/>
        <v>0</v>
      </c>
      <c r="CQ47" s="72">
        <f t="shared" si="12"/>
        <v>0</v>
      </c>
      <c r="CR47" s="72">
        <f t="shared" si="13"/>
        <v>1700</v>
      </c>
      <c r="CS47" s="70">
        <f t="shared" si="14"/>
        <v>0</v>
      </c>
    </row>
    <row r="48" spans="1:97">
      <c r="CB48" s="63">
        <v>31</v>
      </c>
      <c r="CC48" s="63">
        <f>data!$D52</f>
        <v>45</v>
      </c>
      <c r="CD48" s="63">
        <f>data!$E52</f>
        <v>0</v>
      </c>
      <c r="CE48" s="70">
        <f t="shared" si="0"/>
        <v>9166.6666666666661</v>
      </c>
      <c r="CF48" s="71">
        <f t="shared" si="1"/>
        <v>1</v>
      </c>
      <c r="CG48" s="71">
        <f t="shared" si="2"/>
        <v>1</v>
      </c>
      <c r="CH48" s="71">
        <f t="shared" si="3"/>
        <v>0</v>
      </c>
      <c r="CI48" s="72">
        <f t="shared" si="4"/>
        <v>4750</v>
      </c>
      <c r="CJ48" s="72">
        <f t="shared" si="5"/>
        <v>2306.6388115134637</v>
      </c>
      <c r="CK48" s="70">
        <f t="shared" si="6"/>
        <v>0</v>
      </c>
      <c r="CL48" s="72">
        <f t="shared" si="7"/>
        <v>1720</v>
      </c>
      <c r="CM48" s="72">
        <f t="shared" si="8"/>
        <v>725.52881108679776</v>
      </c>
      <c r="CN48" s="45">
        <f t="shared" si="9"/>
        <v>2.7616279069767442</v>
      </c>
      <c r="CO48" s="45">
        <f t="shared" si="10"/>
        <v>3.1792518453653962</v>
      </c>
      <c r="CP48" s="72">
        <f t="shared" si="11"/>
        <v>0</v>
      </c>
      <c r="CQ48" s="72">
        <f t="shared" si="12"/>
        <v>0</v>
      </c>
      <c r="CR48" s="72">
        <f t="shared" si="13"/>
        <v>1720</v>
      </c>
      <c r="CS48" s="70">
        <f t="shared" si="14"/>
        <v>0</v>
      </c>
    </row>
    <row r="49" spans="25:97">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CB49" s="63"/>
      <c r="CC49" s="63"/>
      <c r="CD49" s="63">
        <f>SUM(CD18:CD48)</f>
        <v>1817</v>
      </c>
      <c r="CE49" s="63"/>
      <c r="CF49" s="63"/>
      <c r="CG49" s="63"/>
      <c r="CH49" s="63"/>
      <c r="CI49" s="63"/>
      <c r="CK49" s="62">
        <f>SUM(CK18:CK48)</f>
        <v>4032233.3333333335</v>
      </c>
      <c r="CL49" s="44"/>
      <c r="CM49" s="44"/>
      <c r="CN49" s="44"/>
      <c r="CO49" s="44"/>
      <c r="CP49" s="44"/>
      <c r="CQ49" s="44"/>
      <c r="CR49" s="44"/>
      <c r="CS49" s="77">
        <f>SUM(CS18:CS48)</f>
        <v>848904.59584864334</v>
      </c>
    </row>
    <row r="50" spans="25:97">
      <c r="Y50" s="34"/>
      <c r="Z50" s="34"/>
      <c r="AA50" s="34"/>
      <c r="AB50" s="34"/>
      <c r="AC50" s="34" t="s">
        <v>44</v>
      </c>
      <c r="AD50" s="34"/>
      <c r="AE50" s="34"/>
      <c r="AF50" s="34"/>
      <c r="AG50" s="34"/>
      <c r="AH50" s="34"/>
      <c r="AI50" s="34"/>
      <c r="AJ50" s="34"/>
      <c r="AK50" s="34"/>
      <c r="AL50" s="34"/>
      <c r="AM50" s="34"/>
      <c r="AN50" s="34"/>
      <c r="AO50" s="34"/>
      <c r="AP50" s="34"/>
      <c r="AQ50" s="34"/>
      <c r="AR50" s="34"/>
      <c r="AS50" s="34"/>
      <c r="AT50" s="34"/>
      <c r="AU50" s="34"/>
      <c r="AV50" s="34"/>
      <c r="AW50" s="34"/>
    </row>
    <row r="51" spans="25:97">
      <c r="Y51" s="34"/>
      <c r="Z51" s="34"/>
      <c r="AA51" s="34"/>
      <c r="AB51" s="34"/>
      <c r="AC51" s="34" t="s">
        <v>49</v>
      </c>
      <c r="AJ51" s="34"/>
      <c r="AK51" s="34"/>
      <c r="AM51" s="34"/>
      <c r="AO51" s="34"/>
      <c r="AP51" s="34"/>
      <c r="AQ51" s="34"/>
      <c r="AR51" s="34"/>
      <c r="AS51" s="34"/>
      <c r="AT51" s="34"/>
      <c r="AU51" s="34"/>
      <c r="AV51" s="34"/>
      <c r="AW51" s="34"/>
    </row>
    <row r="52" spans="25:97">
      <c r="Y52" s="34"/>
      <c r="Z52" s="34"/>
      <c r="AA52" s="34"/>
      <c r="AB52" s="34"/>
      <c r="AC52" s="34" t="s">
        <v>43</v>
      </c>
      <c r="AJ52" s="34"/>
      <c r="AK52" s="34"/>
      <c r="AM52" s="34"/>
      <c r="AO52" s="34"/>
      <c r="AP52" s="34"/>
      <c r="AQ52" s="34"/>
      <c r="AR52" s="34"/>
      <c r="AS52" s="34"/>
      <c r="AT52" s="34"/>
      <c r="AU52" s="34"/>
      <c r="AV52" s="34"/>
      <c r="AW52" s="34"/>
    </row>
    <row r="53" spans="25:97">
      <c r="Y53" s="34"/>
      <c r="Z53" s="34"/>
      <c r="AA53" s="34"/>
      <c r="AB53" s="34"/>
      <c r="AC53" s="34" t="s">
        <v>95</v>
      </c>
      <c r="AE53" s="34"/>
      <c r="AF53" s="34"/>
      <c r="AG53" s="34"/>
      <c r="AH53" s="34"/>
      <c r="AI53" s="34"/>
      <c r="AJ53" s="34"/>
      <c r="AK53" s="34"/>
      <c r="AL53" s="34"/>
      <c r="AM53" s="34"/>
      <c r="AN53" s="34"/>
      <c r="AO53" s="34"/>
      <c r="AP53" s="34"/>
      <c r="AQ53" s="34"/>
      <c r="AR53" s="34"/>
      <c r="AS53" s="34"/>
      <c r="AT53" s="34"/>
      <c r="AU53" s="34"/>
      <c r="AV53" s="34"/>
      <c r="AW53" s="34"/>
    </row>
    <row r="54" spans="25:97">
      <c r="Y54" s="34"/>
      <c r="Z54" s="34"/>
      <c r="AA54" s="34"/>
      <c r="AB54" s="34"/>
      <c r="AC54" s="34" t="s">
        <v>44</v>
      </c>
      <c r="AE54" s="34"/>
      <c r="AF54" s="34"/>
      <c r="AG54" s="34"/>
      <c r="AH54" s="34"/>
      <c r="AI54" s="34"/>
      <c r="AJ54" s="34"/>
      <c r="AK54" s="34"/>
      <c r="AL54" s="34"/>
      <c r="AM54" s="34"/>
      <c r="AN54" s="34"/>
      <c r="AO54" s="34"/>
      <c r="AP54" s="34"/>
      <c r="AQ54" s="34"/>
      <c r="AR54" s="34"/>
      <c r="AS54" s="34"/>
      <c r="AT54" s="34"/>
      <c r="AU54" s="34"/>
      <c r="AV54" s="34"/>
      <c r="AW54" s="34"/>
    </row>
    <row r="55" spans="25:97">
      <c r="Y55" s="34"/>
      <c r="Z55" s="34"/>
      <c r="AA55" s="34"/>
      <c r="AB55" s="34"/>
      <c r="AC55" s="34" t="s">
        <v>45</v>
      </c>
      <c r="AE55" s="34"/>
      <c r="AF55" s="34"/>
      <c r="AG55" s="34"/>
      <c r="AH55" s="34"/>
      <c r="AI55" s="34"/>
      <c r="AJ55" s="34"/>
      <c r="AK55" s="34"/>
      <c r="AL55" s="34"/>
      <c r="AM55" s="34"/>
      <c r="AN55" s="34"/>
      <c r="AO55" s="34"/>
      <c r="AP55" s="34"/>
      <c r="AQ55" s="34"/>
      <c r="AR55" s="34"/>
      <c r="AS55" s="34"/>
      <c r="AT55" s="34"/>
      <c r="AU55" s="34"/>
      <c r="AV55" s="34"/>
      <c r="AW55" s="34"/>
    </row>
    <row r="56" spans="25:97">
      <c r="Y56" s="34"/>
      <c r="Z56" s="34"/>
      <c r="AA56" s="34"/>
      <c r="AB56" s="34"/>
      <c r="AE56" s="34"/>
      <c r="AF56" s="34"/>
      <c r="AG56" s="34"/>
      <c r="AH56" s="34"/>
      <c r="AI56" s="34"/>
      <c r="AJ56" s="34"/>
      <c r="AK56" s="34"/>
      <c r="AL56" s="34"/>
      <c r="AM56" s="34"/>
      <c r="AN56" s="34"/>
      <c r="AO56" s="34"/>
      <c r="AP56" s="34"/>
      <c r="AQ56" s="34"/>
      <c r="AR56" s="34"/>
      <c r="AS56" s="34"/>
      <c r="AT56" s="34"/>
      <c r="AU56" s="34"/>
      <c r="AV56" s="34"/>
      <c r="AW56" s="34"/>
    </row>
    <row r="57" spans="25:97">
      <c r="Y57" s="34"/>
      <c r="Z57" s="34"/>
      <c r="AA57" s="34"/>
      <c r="AB57" s="34"/>
      <c r="AE57" s="34"/>
      <c r="AF57" s="34"/>
      <c r="AG57" s="34"/>
      <c r="AH57" s="34"/>
      <c r="AI57" s="34"/>
      <c r="AJ57" s="34"/>
      <c r="AK57" s="34"/>
      <c r="AL57" s="34"/>
      <c r="AM57" s="34"/>
      <c r="AN57" s="34"/>
      <c r="AO57" s="34"/>
      <c r="AP57" s="34"/>
      <c r="AQ57" s="34"/>
      <c r="AR57" s="34"/>
      <c r="AS57" s="34"/>
      <c r="AT57" s="34"/>
      <c r="AU57" s="34"/>
      <c r="AV57" s="34"/>
      <c r="AW57" s="34"/>
    </row>
    <row r="58" spans="25:97">
      <c r="Y58" s="34"/>
      <c r="Z58" s="34"/>
      <c r="AA58" s="34"/>
      <c r="AB58" s="34"/>
      <c r="AE58" s="34"/>
      <c r="AF58" s="34"/>
      <c r="AG58" s="34"/>
      <c r="AH58" s="34"/>
      <c r="AI58" s="34"/>
      <c r="AJ58" s="34"/>
      <c r="AK58" s="34"/>
      <c r="AL58" s="34"/>
      <c r="AM58" s="34"/>
      <c r="AN58" s="34"/>
      <c r="AO58" s="34"/>
      <c r="AP58" s="34"/>
      <c r="AQ58" s="34"/>
      <c r="AR58" s="34"/>
      <c r="AS58" s="34"/>
      <c r="AT58" s="34"/>
      <c r="AU58" s="34"/>
      <c r="AV58" s="34"/>
      <c r="AW58" s="34"/>
    </row>
    <row r="59" spans="25:97">
      <c r="AE59" s="34"/>
      <c r="AF59" s="34"/>
      <c r="AG59" s="34"/>
      <c r="AH59" s="34"/>
    </row>
    <row r="60" spans="25:97">
      <c r="AE60" s="34"/>
      <c r="AF60" s="34"/>
      <c r="AG60" s="34"/>
      <c r="AH60" s="34"/>
      <c r="CA60" s="28" t="s">
        <v>72</v>
      </c>
      <c r="CF60" s="29" t="str">
        <f>data!F7</f>
        <v>CUSTOM</v>
      </c>
      <c r="CL60" s="30"/>
    </row>
    <row r="61" spans="25:97">
      <c r="AE61" s="34"/>
      <c r="AF61" s="34"/>
      <c r="AG61" s="34"/>
      <c r="AH61" s="34"/>
      <c r="CA61" s="28"/>
      <c r="CL61" s="30"/>
    </row>
    <row r="62" spans="25:97">
      <c r="AE62" s="34"/>
      <c r="AF62" s="34"/>
      <c r="AG62" s="34"/>
      <c r="AH62" s="34"/>
      <c r="CA62" s="28"/>
      <c r="CB62" s="37" t="s">
        <v>177</v>
      </c>
      <c r="CC62" s="38">
        <f>'Two-stage Capacity unit'!$H$9</f>
        <v>5500</v>
      </c>
      <c r="CD62" s="39"/>
      <c r="CE62" s="40" t="s">
        <v>0</v>
      </c>
      <c r="CF62" s="41">
        <f>$CK$108/$CS$108</f>
        <v>4.6492540503474</v>
      </c>
      <c r="CJ62" s="42"/>
      <c r="CL62" s="43"/>
    </row>
    <row r="63" spans="25:97">
      <c r="AE63" s="34"/>
      <c r="AF63" s="34"/>
      <c r="AG63" s="34"/>
      <c r="AH63" s="34"/>
      <c r="CA63" s="28"/>
      <c r="CL63" s="43"/>
    </row>
    <row r="64" spans="25:97" ht="15">
      <c r="AE64" s="34"/>
      <c r="AF64" s="34"/>
      <c r="AG64" s="34"/>
      <c r="AH64" s="34"/>
      <c r="CA64" s="28"/>
      <c r="CC64" s="44" t="s">
        <v>325</v>
      </c>
      <c r="CD64" s="44" t="s">
        <v>136</v>
      </c>
      <c r="CG64" s="44" t="s">
        <v>19</v>
      </c>
      <c r="CH64" s="61">
        <f>IF('Two-stage Capacity unit'!$BD$7="Required test",data!$F$14,IF('Two-stage Capacity unit'!$BD$19="Default",data!$F$14,$CK$68))</f>
        <v>0.25</v>
      </c>
      <c r="CK64" s="40" t="s">
        <v>77</v>
      </c>
      <c r="CL64" s="40" t="s">
        <v>78</v>
      </c>
    </row>
    <row r="65" spans="27:97">
      <c r="AE65" s="34"/>
      <c r="AF65" s="34"/>
      <c r="AG65" s="34"/>
      <c r="AH65" s="34"/>
      <c r="CA65" s="28"/>
      <c r="CB65" s="51" t="s">
        <v>18</v>
      </c>
      <c r="CC65" s="52">
        <f>'Two-stage Capacity unit'!$H$9</f>
        <v>5500</v>
      </c>
      <c r="CD65" s="52">
        <f>IF('Two-stage Capacity unit'!$BD$7="Required test",$CD$70/$CH$65,IF('Two-stage Capacity unit'!$BD$13="Default",$CD$70/$CH$65,'Two-stage Capacity unit'!$H$10))</f>
        <v>2646.2395543175489</v>
      </c>
      <c r="CG65" s="53" t="s">
        <v>326</v>
      </c>
      <c r="CH65" s="53">
        <f>data!$F$15</f>
        <v>1.077</v>
      </c>
      <c r="CJ65" s="40" t="s">
        <v>18</v>
      </c>
      <c r="CK65" s="40">
        <f>'Two-stage Capacity unit'!$H$20</f>
        <v>2500</v>
      </c>
      <c r="CL65" s="40">
        <f>'Two-stage Capacity unit'!$H$19</f>
        <v>3300</v>
      </c>
    </row>
    <row r="66" spans="27:97">
      <c r="AE66" s="34"/>
      <c r="AF66" s="34"/>
      <c r="AG66" s="34"/>
      <c r="AH66" s="34"/>
      <c r="CA66" s="28"/>
      <c r="CB66" s="51" t="s">
        <v>83</v>
      </c>
      <c r="CC66" s="52">
        <f>'Two-stage Capacity unit'!$L$9</f>
        <v>1520</v>
      </c>
      <c r="CD66" s="52">
        <f>IF('Two-stage Capacity unit'!$BD$7="Required test",$CD$71/$CH$66,IF('Two-stage Capacity unit'!$BD$13="Default",$CD$71/$CH$66,'Two-stage Capacity unit'!$L$10))</f>
        <v>634.57330415754916</v>
      </c>
      <c r="CG66" s="53" t="s">
        <v>327</v>
      </c>
      <c r="CH66" s="53">
        <f>data!$F$16</f>
        <v>0.91400000000000003</v>
      </c>
      <c r="CJ66" s="40" t="s">
        <v>1</v>
      </c>
      <c r="CK66" s="40">
        <f>'Two-stage Capacity unit'!$L$20</f>
        <v>480</v>
      </c>
      <c r="CL66" s="40">
        <f>'Two-stage Capacity unit'!$L$19</f>
        <v>580</v>
      </c>
    </row>
    <row r="67" spans="27:97" ht="15">
      <c r="AA67" s="34"/>
      <c r="AB67" s="34"/>
      <c r="AE67" s="34"/>
      <c r="AF67" s="34"/>
      <c r="AG67" s="34"/>
      <c r="AH67" s="34"/>
      <c r="AI67" s="34"/>
      <c r="AJ67" s="34"/>
      <c r="AK67" s="34"/>
      <c r="AL67" s="34"/>
      <c r="AM67" s="34"/>
      <c r="AN67" s="34"/>
      <c r="CA67" s="28"/>
      <c r="CB67" s="44" t="s">
        <v>313</v>
      </c>
      <c r="CC67" s="61">
        <f>$CC$65/$CC$66</f>
        <v>3.6184210526315788</v>
      </c>
      <c r="CD67" s="61">
        <f>$CD$65/$CD$66</f>
        <v>4.1701085390452413</v>
      </c>
      <c r="CG67" s="44" t="s">
        <v>146</v>
      </c>
      <c r="CH67" s="63">
        <f>data!$F$11</f>
        <v>20</v>
      </c>
      <c r="CJ67" s="40" t="s">
        <v>242</v>
      </c>
      <c r="CK67" s="41">
        <f>$CK$65/$CK$66</f>
        <v>5.208333333333333</v>
      </c>
      <c r="CL67" s="41">
        <f>$CL$65/$CL$66</f>
        <v>5.6896551724137927</v>
      </c>
    </row>
    <row r="68" spans="27:97" ht="15">
      <c r="AA68" s="34"/>
      <c r="AB68" s="34"/>
      <c r="AE68" s="34"/>
      <c r="AF68" s="34"/>
      <c r="AG68" s="34"/>
      <c r="AH68" s="34"/>
      <c r="AI68" s="34"/>
      <c r="AJ68" s="34"/>
      <c r="AK68" s="34"/>
      <c r="AL68" s="34"/>
      <c r="AM68" s="34"/>
      <c r="AN68" s="34"/>
      <c r="CA68" s="28"/>
      <c r="CB68" s="44"/>
      <c r="CC68" s="44"/>
      <c r="CD68" s="44"/>
      <c r="CE68" s="63"/>
      <c r="CG68" s="44" t="s">
        <v>328</v>
      </c>
      <c r="CH68" s="63">
        <f>data!$F$12</f>
        <v>35</v>
      </c>
      <c r="CJ68" s="40" t="s">
        <v>76</v>
      </c>
      <c r="CK68" s="150">
        <f>(1-($CK$67/$CL$67))/(1-($CK$65/$CL$65))</f>
        <v>0.34895833333333315</v>
      </c>
      <c r="CL68" s="150"/>
    </row>
    <row r="69" spans="27:97" ht="15">
      <c r="AA69" s="34"/>
      <c r="AB69" s="34"/>
      <c r="AE69" s="34"/>
      <c r="AF69" s="34"/>
      <c r="AG69" s="34"/>
      <c r="AH69" s="34"/>
      <c r="AI69" s="34"/>
      <c r="AJ69" s="34"/>
      <c r="AK69" s="34"/>
      <c r="AL69" s="34"/>
      <c r="AM69" s="34"/>
      <c r="AN69" s="34"/>
      <c r="CA69" s="28"/>
      <c r="CB69" s="44"/>
      <c r="CC69" s="44" t="s">
        <v>312</v>
      </c>
      <c r="CD69" s="44" t="s">
        <v>214</v>
      </c>
    </row>
    <row r="70" spans="27:97">
      <c r="AA70" s="34"/>
      <c r="AB70" s="34"/>
      <c r="AE70" s="34"/>
      <c r="AF70" s="34"/>
      <c r="AG70" s="34"/>
      <c r="AH70" s="34"/>
      <c r="AI70" s="34"/>
      <c r="AJ70" s="34"/>
      <c r="AK70" s="34"/>
      <c r="AL70" s="34"/>
      <c r="AM70" s="34"/>
      <c r="AN70" s="34"/>
      <c r="CA70" s="28"/>
      <c r="CB70" s="51" t="s">
        <v>18</v>
      </c>
      <c r="CC70" s="52">
        <f>'Two-stage Capacity unit'!$H$14</f>
        <v>5950</v>
      </c>
      <c r="CD70" s="52">
        <f>'Two-stage Capacity unit'!$H$15</f>
        <v>2850</v>
      </c>
    </row>
    <row r="71" spans="27:97">
      <c r="AA71" s="34"/>
      <c r="AB71" s="34"/>
      <c r="AE71" s="34"/>
      <c r="AF71" s="34"/>
      <c r="AG71" s="34"/>
      <c r="AH71" s="34"/>
      <c r="AI71" s="34"/>
      <c r="AJ71" s="34"/>
      <c r="AK71" s="34"/>
      <c r="AL71" s="34"/>
      <c r="AM71" s="34"/>
      <c r="AN71" s="34"/>
      <c r="CA71" s="28"/>
      <c r="CB71" s="51" t="s">
        <v>83</v>
      </c>
      <c r="CC71" s="52">
        <f>'Two-stage Capacity unit'!$L$14</f>
        <v>1400</v>
      </c>
      <c r="CD71" s="52">
        <f>'Two-stage Capacity unit'!$L$15</f>
        <v>580</v>
      </c>
    </row>
    <row r="72" spans="27:97">
      <c r="AA72" s="34"/>
      <c r="AB72" s="34"/>
      <c r="AE72" s="34"/>
      <c r="AF72" s="34"/>
      <c r="AG72" s="34"/>
      <c r="AH72" s="34"/>
      <c r="AI72" s="34"/>
      <c r="AJ72" s="34"/>
      <c r="AK72" s="34"/>
      <c r="AL72" s="34"/>
      <c r="AM72" s="34"/>
      <c r="AN72" s="34"/>
      <c r="CA72" s="28"/>
      <c r="CB72" s="44" t="s">
        <v>242</v>
      </c>
      <c r="CC72" s="61">
        <f>$CC$70/$CC$71</f>
        <v>4.25</v>
      </c>
      <c r="CD72" s="61">
        <f>$CD$70/$CD$71</f>
        <v>4.9137931034482758</v>
      </c>
    </row>
    <row r="73" spans="27:97">
      <c r="AA73" s="34"/>
      <c r="AB73" s="34"/>
      <c r="AE73" s="34"/>
      <c r="AF73" s="34"/>
      <c r="AG73" s="34"/>
      <c r="AH73" s="34"/>
      <c r="AI73" s="34"/>
      <c r="AJ73" s="34"/>
      <c r="AK73" s="34"/>
      <c r="AL73" s="34"/>
      <c r="AM73" s="34"/>
      <c r="AN73" s="34"/>
      <c r="CA73" s="28"/>
      <c r="CB73" s="44"/>
      <c r="CC73" s="44"/>
      <c r="CD73" s="44"/>
    </row>
    <row r="74" spans="27:97">
      <c r="AA74" s="34"/>
      <c r="AB74" s="34"/>
      <c r="AC74" s="34"/>
      <c r="AD74" s="34"/>
      <c r="AE74" s="34"/>
      <c r="AF74" s="34"/>
      <c r="AG74" s="34"/>
      <c r="AH74" s="34"/>
      <c r="AI74" s="34"/>
      <c r="AJ74" s="34"/>
      <c r="AK74" s="34"/>
      <c r="AL74" s="34"/>
      <c r="AM74" s="34"/>
      <c r="AN74" s="34"/>
      <c r="CA74" s="28"/>
      <c r="CB74" s="97" t="s">
        <v>5</v>
      </c>
      <c r="CC74" s="98" t="s">
        <v>7</v>
      </c>
      <c r="CD74" s="97" t="s">
        <v>8</v>
      </c>
      <c r="CE74" s="66" t="s">
        <v>9</v>
      </c>
      <c r="CF74" s="66" t="s">
        <v>10</v>
      </c>
      <c r="CG74" s="99" t="s">
        <v>20</v>
      </c>
      <c r="CH74" s="99"/>
      <c r="CI74" s="99" t="s">
        <v>11</v>
      </c>
      <c r="CJ74" s="99"/>
      <c r="CK74" s="67" t="s">
        <v>2</v>
      </c>
      <c r="CL74" s="99" t="s">
        <v>13</v>
      </c>
      <c r="CM74" s="99"/>
      <c r="CN74" s="99" t="s">
        <v>16</v>
      </c>
      <c r="CO74" s="99"/>
      <c r="CP74" s="99" t="s">
        <v>64</v>
      </c>
      <c r="CQ74" s="99"/>
      <c r="CR74" s="99"/>
      <c r="CS74" s="67" t="s">
        <v>3</v>
      </c>
    </row>
    <row r="75" spans="27:97">
      <c r="CB75" s="97"/>
      <c r="CC75" s="98"/>
      <c r="CD75" s="97"/>
      <c r="CE75" s="67" t="s">
        <v>329</v>
      </c>
      <c r="CF75" s="96" t="s">
        <v>314</v>
      </c>
      <c r="CG75" s="96" t="s">
        <v>155</v>
      </c>
      <c r="CH75" s="96" t="s">
        <v>330</v>
      </c>
      <c r="CI75" s="68" t="s">
        <v>4</v>
      </c>
      <c r="CJ75" s="68" t="s">
        <v>12</v>
      </c>
      <c r="CK75" s="96" t="s">
        <v>317</v>
      </c>
      <c r="CL75" s="68" t="s">
        <v>4</v>
      </c>
      <c r="CM75" s="68" t="s">
        <v>12</v>
      </c>
      <c r="CN75" s="68" t="s">
        <v>4</v>
      </c>
      <c r="CO75" s="68" t="s">
        <v>98</v>
      </c>
      <c r="CP75" s="68" t="s">
        <v>318</v>
      </c>
      <c r="CQ75" s="68" t="s">
        <v>331</v>
      </c>
      <c r="CR75" s="68" t="s">
        <v>84</v>
      </c>
      <c r="CS75" s="96" t="s">
        <v>197</v>
      </c>
    </row>
    <row r="76" spans="27:97" ht="15">
      <c r="CB76" s="63" t="s">
        <v>6</v>
      </c>
      <c r="CC76" s="63" t="s">
        <v>159</v>
      </c>
      <c r="CD76" s="63" t="s">
        <v>332</v>
      </c>
      <c r="CE76" s="68" t="s">
        <v>15</v>
      </c>
      <c r="CF76" s="99"/>
      <c r="CG76" s="99"/>
      <c r="CH76" s="99"/>
      <c r="CI76" s="67" t="s">
        <v>320</v>
      </c>
      <c r="CJ76" s="67" t="s">
        <v>163</v>
      </c>
      <c r="CK76" s="96"/>
      <c r="CL76" s="67" t="s">
        <v>321</v>
      </c>
      <c r="CM76" s="67" t="s">
        <v>333</v>
      </c>
      <c r="CN76" s="67" t="s">
        <v>258</v>
      </c>
      <c r="CO76" s="67" t="s">
        <v>323</v>
      </c>
      <c r="CP76" s="67" t="s">
        <v>173</v>
      </c>
      <c r="CQ76" s="67" t="s">
        <v>334</v>
      </c>
      <c r="CR76" s="67" t="s">
        <v>321</v>
      </c>
      <c r="CS76" s="96"/>
    </row>
    <row r="77" spans="27:97">
      <c r="CB77" s="63">
        <v>1</v>
      </c>
      <c r="CC77" s="63">
        <f>data!$F22</f>
        <v>15</v>
      </c>
      <c r="CD77" s="63">
        <f>data!$G22</f>
        <v>0</v>
      </c>
      <c r="CE77" s="70">
        <f t="shared" ref="CE77:CE107" si="15">IF($CC$62*($CC77-$CH$67)/($CH$68-$CH$67)&lt;0,0,$CC$62*($CC77-$CH$67)/($CH$68-$CH$67))</f>
        <v>0</v>
      </c>
      <c r="CF77" s="71">
        <f t="shared" ref="CF77:CF107" si="16">1-$CH$64*(1-$CG77)</f>
        <v>0.75</v>
      </c>
      <c r="CG77" s="71">
        <f t="shared" ref="CG77:CG107" si="17">IF($CE77&lt;$CJ77,$CE77/$CJ77,1)</f>
        <v>0</v>
      </c>
      <c r="CH77" s="71">
        <f t="shared" ref="CH77:CH107" si="18">IF(($CI77-$CE77)/($CI77-$CJ77)&gt;1,1,IF(($CI77-$CE77)/($CI77-$CJ77)&lt;0,0,($CI77-$CE77)/($CI77-$CJ77)))</f>
        <v>1</v>
      </c>
      <c r="CI77" s="72">
        <f t="shared" ref="CI77:CI107" si="19">$CC$65+($CC$70-$CC$65)/(35-29)*(35-$CC77)</f>
        <v>7000</v>
      </c>
      <c r="CJ77" s="72">
        <f t="shared" ref="CJ77:CJ107" si="20">$CD$65+($CD$70-$CD$65)/(35-29)*(35-$CC77)</f>
        <v>3325.4410399257195</v>
      </c>
      <c r="CK77" s="70">
        <f t="shared" ref="CK77:CK107" si="21">IF($CE77&lt;$CI77,$CE77*$CD77,$CI77*$CD77)</f>
        <v>0</v>
      </c>
      <c r="CL77" s="72">
        <f t="shared" ref="CL77:CL107" si="22">$CC$66+($CC$71-$CC$66)/(35-29)*(35-$CC77)</f>
        <v>1120</v>
      </c>
      <c r="CM77" s="72">
        <f t="shared" ref="CM77:CM107" si="23">$CD$66+($CD$71-$CD$66)/(35-29)*(35-$CC77)</f>
        <v>452.66229029905196</v>
      </c>
      <c r="CN77" s="45">
        <f t="shared" ref="CN77:CN107" si="24">$CI77/$CL77</f>
        <v>6.25</v>
      </c>
      <c r="CO77" s="45">
        <f t="shared" ref="CO77:CO107" si="25">$CJ77/$CM77</f>
        <v>7.3464061645796965</v>
      </c>
      <c r="CP77" s="72">
        <f t="shared" ref="CP77:CP107" si="26">IF($CE77&lt;=$CJ77,$CG77*$CM77/$CF77,0)</f>
        <v>0</v>
      </c>
      <c r="CQ77" s="72">
        <f t="shared" ref="CQ77:CQ107" si="27">IF($CJ77&lt;$CE77,IF($CE77&lt;=$CI77,$CH77*$CM77+(1-$CH77)*$CL77,0),0)</f>
        <v>0</v>
      </c>
      <c r="CR77" s="72">
        <f t="shared" ref="CR77:CR107" si="28">IF($CE77&gt;$CI77,$CL77,0)</f>
        <v>0</v>
      </c>
      <c r="CS77" s="70">
        <f t="shared" ref="CS77:CS107" si="29">IF($CF77=0,0,$CP77*$CD77+$CQ77*$CD77+$CR77*$CD77)</f>
        <v>0</v>
      </c>
    </row>
    <row r="78" spans="27:97">
      <c r="CB78" s="63">
        <v>2</v>
      </c>
      <c r="CC78" s="63">
        <f>data!$F23</f>
        <v>16</v>
      </c>
      <c r="CD78" s="63">
        <f>data!$G23</f>
        <v>0</v>
      </c>
      <c r="CE78" s="70">
        <f t="shared" si="15"/>
        <v>0</v>
      </c>
      <c r="CF78" s="71">
        <f t="shared" si="16"/>
        <v>0.75</v>
      </c>
      <c r="CG78" s="71">
        <f t="shared" si="17"/>
        <v>0</v>
      </c>
      <c r="CH78" s="71">
        <f t="shared" si="18"/>
        <v>1</v>
      </c>
      <c r="CI78" s="72">
        <f t="shared" si="19"/>
        <v>6925</v>
      </c>
      <c r="CJ78" s="72">
        <f t="shared" si="20"/>
        <v>3291.4809656453108</v>
      </c>
      <c r="CK78" s="70">
        <f t="shared" si="21"/>
        <v>0</v>
      </c>
      <c r="CL78" s="72">
        <f t="shared" si="22"/>
        <v>1140</v>
      </c>
      <c r="CM78" s="72">
        <f t="shared" si="23"/>
        <v>461.75784099197682</v>
      </c>
      <c r="CN78" s="45">
        <f t="shared" si="24"/>
        <v>6.0745614035087723</v>
      </c>
      <c r="CO78" s="45">
        <f t="shared" si="25"/>
        <v>7.1281539227885062</v>
      </c>
      <c r="CP78" s="72">
        <f t="shared" si="26"/>
        <v>0</v>
      </c>
      <c r="CQ78" s="72">
        <f t="shared" si="27"/>
        <v>0</v>
      </c>
      <c r="CR78" s="72">
        <f t="shared" si="28"/>
        <v>0</v>
      </c>
      <c r="CS78" s="70">
        <f t="shared" si="29"/>
        <v>0</v>
      </c>
    </row>
    <row r="79" spans="27:97">
      <c r="CB79" s="63">
        <v>3</v>
      </c>
      <c r="CC79" s="63">
        <f>data!$F24</f>
        <v>17</v>
      </c>
      <c r="CD79" s="63">
        <f>data!$G24</f>
        <v>0</v>
      </c>
      <c r="CE79" s="70">
        <f t="shared" si="15"/>
        <v>0</v>
      </c>
      <c r="CF79" s="71">
        <f t="shared" si="16"/>
        <v>0.75</v>
      </c>
      <c r="CG79" s="71">
        <f t="shared" si="17"/>
        <v>0</v>
      </c>
      <c r="CH79" s="71">
        <f t="shared" si="18"/>
        <v>1</v>
      </c>
      <c r="CI79" s="72">
        <f t="shared" si="19"/>
        <v>6850</v>
      </c>
      <c r="CJ79" s="72">
        <f t="shared" si="20"/>
        <v>3257.5208913649021</v>
      </c>
      <c r="CK79" s="70">
        <f t="shared" si="21"/>
        <v>0</v>
      </c>
      <c r="CL79" s="72">
        <f t="shared" si="22"/>
        <v>1160</v>
      </c>
      <c r="CM79" s="72">
        <f t="shared" si="23"/>
        <v>470.85339168490168</v>
      </c>
      <c r="CN79" s="45">
        <f t="shared" si="24"/>
        <v>5.9051724137931032</v>
      </c>
      <c r="CO79" s="45">
        <f t="shared" si="25"/>
        <v>6.9183337083082064</v>
      </c>
      <c r="CP79" s="72">
        <f t="shared" si="26"/>
        <v>0</v>
      </c>
      <c r="CQ79" s="72">
        <f t="shared" si="27"/>
        <v>0</v>
      </c>
      <c r="CR79" s="72">
        <f t="shared" si="28"/>
        <v>0</v>
      </c>
      <c r="CS79" s="70">
        <f t="shared" si="29"/>
        <v>0</v>
      </c>
    </row>
    <row r="80" spans="27:97">
      <c r="CB80" s="63">
        <v>4</v>
      </c>
      <c r="CC80" s="63">
        <f>data!$F25</f>
        <v>18</v>
      </c>
      <c r="CD80" s="63">
        <f>data!$G25</f>
        <v>0</v>
      </c>
      <c r="CE80" s="70">
        <f t="shared" si="15"/>
        <v>0</v>
      </c>
      <c r="CF80" s="71">
        <f t="shared" si="16"/>
        <v>0.75</v>
      </c>
      <c r="CG80" s="71">
        <f t="shared" si="17"/>
        <v>0</v>
      </c>
      <c r="CH80" s="71">
        <f t="shared" si="18"/>
        <v>1</v>
      </c>
      <c r="CI80" s="72">
        <f t="shared" si="19"/>
        <v>6775</v>
      </c>
      <c r="CJ80" s="72">
        <f t="shared" si="20"/>
        <v>3223.5608170844935</v>
      </c>
      <c r="CK80" s="70">
        <f t="shared" si="21"/>
        <v>0</v>
      </c>
      <c r="CL80" s="72">
        <f t="shared" si="22"/>
        <v>1180</v>
      </c>
      <c r="CM80" s="72">
        <f t="shared" si="23"/>
        <v>479.94894237782654</v>
      </c>
      <c r="CN80" s="45">
        <f t="shared" si="24"/>
        <v>5.7415254237288131</v>
      </c>
      <c r="CO80" s="45">
        <f t="shared" si="25"/>
        <v>6.7164661330722017</v>
      </c>
      <c r="CP80" s="72">
        <f t="shared" si="26"/>
        <v>0</v>
      </c>
      <c r="CQ80" s="72">
        <f t="shared" si="27"/>
        <v>0</v>
      </c>
      <c r="CR80" s="72">
        <f t="shared" si="28"/>
        <v>0</v>
      </c>
      <c r="CS80" s="70">
        <f t="shared" si="29"/>
        <v>0</v>
      </c>
    </row>
    <row r="81" spans="80:97">
      <c r="CB81" s="63">
        <v>5</v>
      </c>
      <c r="CC81" s="63">
        <f>data!$F26</f>
        <v>19</v>
      </c>
      <c r="CD81" s="63">
        <f>data!$G26</f>
        <v>0</v>
      </c>
      <c r="CE81" s="70">
        <f t="shared" si="15"/>
        <v>0</v>
      </c>
      <c r="CF81" s="71">
        <f t="shared" si="16"/>
        <v>0.75</v>
      </c>
      <c r="CG81" s="71">
        <f t="shared" si="17"/>
        <v>0</v>
      </c>
      <c r="CH81" s="71">
        <f t="shared" si="18"/>
        <v>1</v>
      </c>
      <c r="CI81" s="72">
        <f t="shared" si="19"/>
        <v>6700</v>
      </c>
      <c r="CJ81" s="72">
        <f t="shared" si="20"/>
        <v>3189.6007428040853</v>
      </c>
      <c r="CK81" s="70">
        <f t="shared" si="21"/>
        <v>0</v>
      </c>
      <c r="CL81" s="72">
        <f t="shared" si="22"/>
        <v>1200</v>
      </c>
      <c r="CM81" s="72">
        <f t="shared" si="23"/>
        <v>489.0444930707514</v>
      </c>
      <c r="CN81" s="45">
        <f t="shared" si="24"/>
        <v>5.583333333333333</v>
      </c>
      <c r="CO81" s="45">
        <f t="shared" si="25"/>
        <v>6.5221074728320003</v>
      </c>
      <c r="CP81" s="72">
        <f t="shared" si="26"/>
        <v>0</v>
      </c>
      <c r="CQ81" s="72">
        <f t="shared" si="27"/>
        <v>0</v>
      </c>
      <c r="CR81" s="72">
        <f t="shared" si="28"/>
        <v>0</v>
      </c>
      <c r="CS81" s="70">
        <f t="shared" si="29"/>
        <v>0</v>
      </c>
    </row>
    <row r="82" spans="80:97">
      <c r="CB82" s="63">
        <v>6</v>
      </c>
      <c r="CC82" s="63">
        <f>data!$F27</f>
        <v>20</v>
      </c>
      <c r="CD82" s="63">
        <f>data!$G27</f>
        <v>0</v>
      </c>
      <c r="CE82" s="70">
        <f t="shared" si="15"/>
        <v>0</v>
      </c>
      <c r="CF82" s="71">
        <f t="shared" si="16"/>
        <v>0.75</v>
      </c>
      <c r="CG82" s="71">
        <f t="shared" si="17"/>
        <v>0</v>
      </c>
      <c r="CH82" s="71">
        <f t="shared" si="18"/>
        <v>1</v>
      </c>
      <c r="CI82" s="72">
        <f t="shared" si="19"/>
        <v>6625</v>
      </c>
      <c r="CJ82" s="72">
        <f t="shared" si="20"/>
        <v>3155.6406685236766</v>
      </c>
      <c r="CK82" s="70">
        <f t="shared" si="21"/>
        <v>0</v>
      </c>
      <c r="CL82" s="72">
        <f t="shared" si="22"/>
        <v>1220</v>
      </c>
      <c r="CM82" s="72">
        <f t="shared" si="23"/>
        <v>498.14004376367626</v>
      </c>
      <c r="CN82" s="45">
        <f t="shared" si="24"/>
        <v>5.4303278688524594</v>
      </c>
      <c r="CO82" s="45">
        <f t="shared" si="25"/>
        <v>6.334846411224774</v>
      </c>
      <c r="CP82" s="72">
        <f t="shared" si="26"/>
        <v>0</v>
      </c>
      <c r="CQ82" s="72">
        <f t="shared" si="27"/>
        <v>0</v>
      </c>
      <c r="CR82" s="72">
        <f t="shared" si="28"/>
        <v>0</v>
      </c>
      <c r="CS82" s="70">
        <f t="shared" si="29"/>
        <v>0</v>
      </c>
    </row>
    <row r="83" spans="80:97">
      <c r="CB83" s="63">
        <v>7</v>
      </c>
      <c r="CC83" s="63">
        <f>data!$F28</f>
        <v>21</v>
      </c>
      <c r="CD83" s="63">
        <f>data!$G28</f>
        <v>130</v>
      </c>
      <c r="CE83" s="70">
        <f t="shared" si="15"/>
        <v>366.66666666666669</v>
      </c>
      <c r="CF83" s="71">
        <f t="shared" si="16"/>
        <v>0.77936452462039529</v>
      </c>
      <c r="CG83" s="71">
        <f t="shared" si="17"/>
        <v>0.1174580984815812</v>
      </c>
      <c r="CH83" s="71">
        <f t="shared" si="18"/>
        <v>1</v>
      </c>
      <c r="CI83" s="72">
        <f t="shared" si="19"/>
        <v>6550</v>
      </c>
      <c r="CJ83" s="72">
        <f t="shared" si="20"/>
        <v>3121.6805942432679</v>
      </c>
      <c r="CK83" s="70">
        <f t="shared" si="21"/>
        <v>47666.666666666672</v>
      </c>
      <c r="CL83" s="72">
        <f t="shared" si="22"/>
        <v>1240</v>
      </c>
      <c r="CM83" s="72">
        <f t="shared" si="23"/>
        <v>507.23559445660112</v>
      </c>
      <c r="CN83" s="45">
        <f t="shared" si="24"/>
        <v>5.282258064516129</v>
      </c>
      <c r="CO83" s="45">
        <f t="shared" si="25"/>
        <v>6.1543011341455802</v>
      </c>
      <c r="CP83" s="72">
        <f t="shared" si="26"/>
        <v>76.445522634053589</v>
      </c>
      <c r="CQ83" s="72">
        <f t="shared" si="27"/>
        <v>0</v>
      </c>
      <c r="CR83" s="72">
        <f t="shared" si="28"/>
        <v>0</v>
      </c>
      <c r="CS83" s="70">
        <f t="shared" si="29"/>
        <v>9937.917942426966</v>
      </c>
    </row>
    <row r="84" spans="80:97">
      <c r="CB84" s="63">
        <v>8</v>
      </c>
      <c r="CC84" s="63">
        <f>data!$F29</f>
        <v>22</v>
      </c>
      <c r="CD84" s="63">
        <f>data!$G29</f>
        <v>167</v>
      </c>
      <c r="CE84" s="70">
        <f t="shared" si="15"/>
        <v>733.33333333333337</v>
      </c>
      <c r="CF84" s="71">
        <f t="shared" si="16"/>
        <v>0.80937497650711554</v>
      </c>
      <c r="CG84" s="71">
        <f t="shared" si="17"/>
        <v>0.2374999060284621</v>
      </c>
      <c r="CH84" s="71">
        <f t="shared" si="18"/>
        <v>1</v>
      </c>
      <c r="CI84" s="72">
        <f t="shared" si="19"/>
        <v>6475</v>
      </c>
      <c r="CJ84" s="72">
        <f t="shared" si="20"/>
        <v>3087.7205199628597</v>
      </c>
      <c r="CK84" s="70">
        <f t="shared" si="21"/>
        <v>122466.66666666667</v>
      </c>
      <c r="CL84" s="72">
        <f t="shared" si="22"/>
        <v>1260</v>
      </c>
      <c r="CM84" s="72">
        <f t="shared" si="23"/>
        <v>516.33114514952604</v>
      </c>
      <c r="CN84" s="45">
        <f t="shared" si="24"/>
        <v>5.1388888888888893</v>
      </c>
      <c r="CO84" s="45">
        <f t="shared" si="25"/>
        <v>5.9801167312281276</v>
      </c>
      <c r="CP84" s="72">
        <f t="shared" si="26"/>
        <v>151.5102418680998</v>
      </c>
      <c r="CQ84" s="72">
        <f t="shared" si="27"/>
        <v>0</v>
      </c>
      <c r="CR84" s="72">
        <f t="shared" si="28"/>
        <v>0</v>
      </c>
      <c r="CS84" s="70">
        <f t="shared" si="29"/>
        <v>25302.210391972665</v>
      </c>
    </row>
    <row r="85" spans="80:97">
      <c r="CB85" s="63">
        <v>9</v>
      </c>
      <c r="CC85" s="63">
        <f>data!$F30</f>
        <v>23</v>
      </c>
      <c r="CD85" s="63">
        <f>data!$G30</f>
        <v>231</v>
      </c>
      <c r="CE85" s="70">
        <f t="shared" si="15"/>
        <v>1100</v>
      </c>
      <c r="CF85" s="71">
        <f t="shared" si="16"/>
        <v>0.84005290522667153</v>
      </c>
      <c r="CG85" s="71">
        <f t="shared" si="17"/>
        <v>0.36021162090668613</v>
      </c>
      <c r="CH85" s="71">
        <f t="shared" si="18"/>
        <v>1</v>
      </c>
      <c r="CI85" s="72">
        <f t="shared" si="19"/>
        <v>6400</v>
      </c>
      <c r="CJ85" s="72">
        <f t="shared" si="20"/>
        <v>3053.7604456824511</v>
      </c>
      <c r="CK85" s="70">
        <f t="shared" si="21"/>
        <v>254100</v>
      </c>
      <c r="CL85" s="72">
        <f t="shared" si="22"/>
        <v>1280</v>
      </c>
      <c r="CM85" s="72">
        <f t="shared" si="23"/>
        <v>525.42669584245084</v>
      </c>
      <c r="CN85" s="45">
        <f t="shared" si="24"/>
        <v>5</v>
      </c>
      <c r="CO85" s="45">
        <f t="shared" si="25"/>
        <v>5.8119628672200561</v>
      </c>
      <c r="CP85" s="72">
        <f t="shared" si="26"/>
        <v>225.30105020705125</v>
      </c>
      <c r="CQ85" s="72">
        <f t="shared" si="27"/>
        <v>0</v>
      </c>
      <c r="CR85" s="72">
        <f t="shared" si="28"/>
        <v>0</v>
      </c>
      <c r="CS85" s="70">
        <f t="shared" si="29"/>
        <v>52044.54259782884</v>
      </c>
    </row>
    <row r="86" spans="80:97">
      <c r="CB86" s="63">
        <v>10</v>
      </c>
      <c r="CC86" s="63">
        <f>data!$F31</f>
        <v>24</v>
      </c>
      <c r="CD86" s="63">
        <f>data!$G31</f>
        <v>271</v>
      </c>
      <c r="CE86" s="70">
        <f t="shared" si="15"/>
        <v>1466.6666666666667</v>
      </c>
      <c r="CF86" s="71">
        <f t="shared" si="16"/>
        <v>0.8714208297141276</v>
      </c>
      <c r="CG86" s="71">
        <f t="shared" si="17"/>
        <v>0.48568331885651039</v>
      </c>
      <c r="CH86" s="71">
        <f t="shared" si="18"/>
        <v>1</v>
      </c>
      <c r="CI86" s="72">
        <f t="shared" si="19"/>
        <v>6325</v>
      </c>
      <c r="CJ86" s="72">
        <f t="shared" si="20"/>
        <v>3019.8003714020424</v>
      </c>
      <c r="CK86" s="70">
        <f t="shared" si="21"/>
        <v>397466.66666666669</v>
      </c>
      <c r="CL86" s="72">
        <f t="shared" si="22"/>
        <v>1300</v>
      </c>
      <c r="CM86" s="72">
        <f t="shared" si="23"/>
        <v>534.52224653537564</v>
      </c>
      <c r="CN86" s="45">
        <f t="shared" si="24"/>
        <v>4.865384615384615</v>
      </c>
      <c r="CO86" s="45">
        <f t="shared" si="25"/>
        <v>5.6495316911046221</v>
      </c>
      <c r="CP86" s="72">
        <f t="shared" si="26"/>
        <v>297.91408450163459</v>
      </c>
      <c r="CQ86" s="72">
        <f t="shared" si="27"/>
        <v>0</v>
      </c>
      <c r="CR86" s="72">
        <f t="shared" si="28"/>
        <v>0</v>
      </c>
      <c r="CS86" s="70">
        <f t="shared" si="29"/>
        <v>80734.71689994297</v>
      </c>
    </row>
    <row r="87" spans="80:97">
      <c r="CB87" s="63">
        <v>11</v>
      </c>
      <c r="CC87" s="63">
        <f>data!$F32</f>
        <v>25</v>
      </c>
      <c r="CD87" s="63">
        <f>data!$G32</f>
        <v>253</v>
      </c>
      <c r="CE87" s="70">
        <f t="shared" si="15"/>
        <v>1833.3333333333333</v>
      </c>
      <c r="CF87" s="71">
        <f t="shared" si="16"/>
        <v>0.90350229339967347</v>
      </c>
      <c r="CG87" s="71">
        <f t="shared" si="17"/>
        <v>0.61400917359869389</v>
      </c>
      <c r="CH87" s="71">
        <f t="shared" si="18"/>
        <v>1</v>
      </c>
      <c r="CI87" s="72">
        <f t="shared" si="19"/>
        <v>6250</v>
      </c>
      <c r="CJ87" s="72">
        <f t="shared" si="20"/>
        <v>2985.8402971216342</v>
      </c>
      <c r="CK87" s="70">
        <f t="shared" si="21"/>
        <v>463833.33333333331</v>
      </c>
      <c r="CL87" s="72">
        <f t="shared" si="22"/>
        <v>1320</v>
      </c>
      <c r="CM87" s="72">
        <f t="shared" si="23"/>
        <v>543.61779722830056</v>
      </c>
      <c r="CN87" s="45">
        <f t="shared" si="24"/>
        <v>4.7348484848484844</v>
      </c>
      <c r="CO87" s="45">
        <f t="shared" si="25"/>
        <v>5.4925359551237891</v>
      </c>
      <c r="CP87" s="72">
        <f t="shared" si="26"/>
        <v>369.43604556190917</v>
      </c>
      <c r="CQ87" s="72">
        <f t="shared" si="27"/>
        <v>0</v>
      </c>
      <c r="CR87" s="72">
        <f t="shared" si="28"/>
        <v>0</v>
      </c>
      <c r="CS87" s="70">
        <f t="shared" si="29"/>
        <v>93467.319527163025</v>
      </c>
    </row>
    <row r="88" spans="80:97">
      <c r="CB88" s="63">
        <v>12</v>
      </c>
      <c r="CC88" s="63">
        <f>data!$F33</f>
        <v>26</v>
      </c>
      <c r="CD88" s="63">
        <f>data!$G33</f>
        <v>226</v>
      </c>
      <c r="CE88" s="70">
        <f t="shared" si="15"/>
        <v>2200</v>
      </c>
      <c r="CF88" s="71">
        <f t="shared" si="16"/>
        <v>0.93632192314043738</v>
      </c>
      <c r="CG88" s="71">
        <f t="shared" si="17"/>
        <v>0.74528769256174954</v>
      </c>
      <c r="CH88" s="71">
        <f t="shared" si="18"/>
        <v>1</v>
      </c>
      <c r="CI88" s="72">
        <f t="shared" si="19"/>
        <v>6175</v>
      </c>
      <c r="CJ88" s="72">
        <f t="shared" si="20"/>
        <v>2951.8802228412255</v>
      </c>
      <c r="CK88" s="70">
        <f t="shared" si="21"/>
        <v>497200</v>
      </c>
      <c r="CL88" s="72">
        <f t="shared" si="22"/>
        <v>1340</v>
      </c>
      <c r="CM88" s="72">
        <f t="shared" si="23"/>
        <v>552.71334792122548</v>
      </c>
      <c r="CN88" s="45">
        <f t="shared" si="24"/>
        <v>4.6082089552238807</v>
      </c>
      <c r="CO88" s="45">
        <f t="shared" si="25"/>
        <v>5.3407073195234958</v>
      </c>
      <c r="CP88" s="72">
        <f t="shared" si="26"/>
        <v>439.94532813956641</v>
      </c>
      <c r="CQ88" s="72">
        <f t="shared" si="27"/>
        <v>0</v>
      </c>
      <c r="CR88" s="72">
        <f t="shared" si="28"/>
        <v>0</v>
      </c>
      <c r="CS88" s="70">
        <f t="shared" si="29"/>
        <v>99427.644159542004</v>
      </c>
    </row>
    <row r="89" spans="80:97">
      <c r="CB89" s="63">
        <v>13</v>
      </c>
      <c r="CC89" s="63">
        <f>data!$F34</f>
        <v>27</v>
      </c>
      <c r="CD89" s="63">
        <f>data!$G34</f>
        <v>189</v>
      </c>
      <c r="CE89" s="70">
        <f t="shared" si="15"/>
        <v>2566.6666666666665</v>
      </c>
      <c r="CF89" s="71">
        <f t="shared" si="16"/>
        <v>0.96990549226754919</v>
      </c>
      <c r="CG89" s="71">
        <f t="shared" si="17"/>
        <v>0.87962196907019663</v>
      </c>
      <c r="CH89" s="71">
        <f t="shared" si="18"/>
        <v>1</v>
      </c>
      <c r="CI89" s="72">
        <f t="shared" si="19"/>
        <v>6100</v>
      </c>
      <c r="CJ89" s="72">
        <f t="shared" si="20"/>
        <v>2917.9201485608169</v>
      </c>
      <c r="CK89" s="70">
        <f t="shared" si="21"/>
        <v>485100</v>
      </c>
      <c r="CL89" s="72">
        <f t="shared" si="22"/>
        <v>1360</v>
      </c>
      <c r="CM89" s="72">
        <f t="shared" si="23"/>
        <v>561.80889861415028</v>
      </c>
      <c r="CN89" s="45">
        <f t="shared" si="24"/>
        <v>4.4852941176470589</v>
      </c>
      <c r="CO89" s="45">
        <f t="shared" si="25"/>
        <v>5.1937948219735146</v>
      </c>
      <c r="CP89" s="72">
        <f t="shared" si="26"/>
        <v>509.51299232752206</v>
      </c>
      <c r="CQ89" s="72">
        <f t="shared" si="27"/>
        <v>0</v>
      </c>
      <c r="CR89" s="72">
        <f t="shared" si="28"/>
        <v>0</v>
      </c>
      <c r="CS89" s="70">
        <f t="shared" si="29"/>
        <v>96297.955549901671</v>
      </c>
    </row>
    <row r="90" spans="80:97">
      <c r="CB90" s="63">
        <v>14</v>
      </c>
      <c r="CC90" s="63">
        <f>data!$F35</f>
        <v>28</v>
      </c>
      <c r="CD90" s="63">
        <f>data!$G35</f>
        <v>149</v>
      </c>
      <c r="CE90" s="70">
        <f t="shared" si="15"/>
        <v>2933.3333333333335</v>
      </c>
      <c r="CF90" s="71">
        <f t="shared" si="16"/>
        <v>1</v>
      </c>
      <c r="CG90" s="71">
        <f t="shared" si="17"/>
        <v>1</v>
      </c>
      <c r="CH90" s="71">
        <f t="shared" si="18"/>
        <v>0.9842812379910727</v>
      </c>
      <c r="CI90" s="72">
        <f t="shared" si="19"/>
        <v>6025</v>
      </c>
      <c r="CJ90" s="72">
        <f t="shared" si="20"/>
        <v>2883.9600742804087</v>
      </c>
      <c r="CK90" s="70">
        <f t="shared" si="21"/>
        <v>437066.66666666669</v>
      </c>
      <c r="CL90" s="72">
        <f t="shared" si="22"/>
        <v>1380</v>
      </c>
      <c r="CM90" s="72">
        <f t="shared" si="23"/>
        <v>570.90444930707508</v>
      </c>
      <c r="CN90" s="45">
        <f t="shared" si="24"/>
        <v>4.3659420289855069</v>
      </c>
      <c r="CO90" s="45">
        <f t="shared" si="25"/>
        <v>5.0515634932969302</v>
      </c>
      <c r="CP90" s="72">
        <f t="shared" si="26"/>
        <v>0</v>
      </c>
      <c r="CQ90" s="72">
        <f t="shared" si="27"/>
        <v>583.62242971089915</v>
      </c>
      <c r="CR90" s="72">
        <f t="shared" si="28"/>
        <v>0</v>
      </c>
      <c r="CS90" s="70">
        <f t="shared" si="29"/>
        <v>86959.742026923981</v>
      </c>
    </row>
    <row r="91" spans="80:97">
      <c r="CB91" s="63">
        <v>15</v>
      </c>
      <c r="CC91" s="63">
        <f>data!$F36</f>
        <v>29</v>
      </c>
      <c r="CD91" s="63">
        <f>data!$G36</f>
        <v>128</v>
      </c>
      <c r="CE91" s="70">
        <f t="shared" si="15"/>
        <v>3300</v>
      </c>
      <c r="CF91" s="71">
        <f t="shared" si="16"/>
        <v>1</v>
      </c>
      <c r="CG91" s="71">
        <f t="shared" si="17"/>
        <v>1</v>
      </c>
      <c r="CH91" s="71">
        <f t="shared" si="18"/>
        <v>0.85483870967741937</v>
      </c>
      <c r="CI91" s="72">
        <f t="shared" si="19"/>
        <v>5950</v>
      </c>
      <c r="CJ91" s="72">
        <f t="shared" si="20"/>
        <v>2850</v>
      </c>
      <c r="CK91" s="70">
        <f t="shared" si="21"/>
        <v>422400</v>
      </c>
      <c r="CL91" s="72">
        <f t="shared" si="22"/>
        <v>1400</v>
      </c>
      <c r="CM91" s="72">
        <f t="shared" si="23"/>
        <v>580</v>
      </c>
      <c r="CN91" s="45">
        <f t="shared" si="24"/>
        <v>4.25</v>
      </c>
      <c r="CO91" s="45">
        <f t="shared" si="25"/>
        <v>4.9137931034482758</v>
      </c>
      <c r="CP91" s="72">
        <f t="shared" si="26"/>
        <v>0</v>
      </c>
      <c r="CQ91" s="72">
        <f t="shared" si="27"/>
        <v>699.0322580645161</v>
      </c>
      <c r="CR91" s="72">
        <f t="shared" si="28"/>
        <v>0</v>
      </c>
      <c r="CS91" s="70">
        <f t="shared" si="29"/>
        <v>89476.129032258061</v>
      </c>
    </row>
    <row r="92" spans="80:97">
      <c r="CB92" s="63">
        <v>16</v>
      </c>
      <c r="CC92" s="63">
        <f>data!$F37</f>
        <v>30</v>
      </c>
      <c r="CD92" s="63">
        <f>data!$G37</f>
        <v>111</v>
      </c>
      <c r="CE92" s="70">
        <f t="shared" si="15"/>
        <v>3666.6666666666665</v>
      </c>
      <c r="CF92" s="71">
        <f t="shared" si="16"/>
        <v>1</v>
      </c>
      <c r="CG92" s="71">
        <f t="shared" si="17"/>
        <v>1</v>
      </c>
      <c r="CH92" s="71">
        <f t="shared" si="18"/>
        <v>0.72192290180604035</v>
      </c>
      <c r="CI92" s="72">
        <f t="shared" si="19"/>
        <v>5875</v>
      </c>
      <c r="CJ92" s="72">
        <f t="shared" si="20"/>
        <v>2816.0399257195913</v>
      </c>
      <c r="CK92" s="70">
        <f t="shared" si="21"/>
        <v>407000</v>
      </c>
      <c r="CL92" s="72">
        <f t="shared" si="22"/>
        <v>1420</v>
      </c>
      <c r="CM92" s="72">
        <f t="shared" si="23"/>
        <v>589.09555069292492</v>
      </c>
      <c r="CN92" s="45">
        <f t="shared" si="24"/>
        <v>4.137323943661972</v>
      </c>
      <c r="CO92" s="45">
        <f t="shared" si="25"/>
        <v>4.78027702366317</v>
      </c>
      <c r="CP92" s="72">
        <f t="shared" si="26"/>
        <v>0</v>
      </c>
      <c r="CQ92" s="72">
        <f t="shared" si="27"/>
        <v>820.15104883268646</v>
      </c>
      <c r="CR92" s="72">
        <f t="shared" si="28"/>
        <v>0</v>
      </c>
      <c r="CS92" s="70">
        <f t="shared" si="29"/>
        <v>91036.76642042819</v>
      </c>
    </row>
    <row r="93" spans="80:97">
      <c r="CB93" s="63">
        <v>17</v>
      </c>
      <c r="CC93" s="63">
        <f>data!$F38</f>
        <v>31</v>
      </c>
      <c r="CD93" s="63">
        <f>data!$G38</f>
        <v>84</v>
      </c>
      <c r="CE93" s="70">
        <f t="shared" si="15"/>
        <v>4033.3333333333335</v>
      </c>
      <c r="CF93" s="71">
        <f t="shared" si="16"/>
        <v>1</v>
      </c>
      <c r="CG93" s="71">
        <f t="shared" si="17"/>
        <v>1</v>
      </c>
      <c r="CH93" s="71">
        <f t="shared" si="18"/>
        <v>0.58539211765067845</v>
      </c>
      <c r="CI93" s="72">
        <f t="shared" si="19"/>
        <v>5800</v>
      </c>
      <c r="CJ93" s="72">
        <f t="shared" si="20"/>
        <v>2782.0798514391831</v>
      </c>
      <c r="CK93" s="70">
        <f t="shared" si="21"/>
        <v>338800</v>
      </c>
      <c r="CL93" s="72">
        <f t="shared" si="22"/>
        <v>1440</v>
      </c>
      <c r="CM93" s="72">
        <f t="shared" si="23"/>
        <v>598.19110138584972</v>
      </c>
      <c r="CN93" s="45">
        <f t="shared" si="24"/>
        <v>4.0277777777777777</v>
      </c>
      <c r="CO93" s="45">
        <f t="shared" si="25"/>
        <v>4.6508211924146714</v>
      </c>
      <c r="CP93" s="72">
        <f t="shared" si="26"/>
        <v>0</v>
      </c>
      <c r="CQ93" s="72">
        <f t="shared" si="27"/>
        <v>947.21170618307724</v>
      </c>
      <c r="CR93" s="72">
        <f t="shared" si="28"/>
        <v>0</v>
      </c>
      <c r="CS93" s="70">
        <f t="shared" si="29"/>
        <v>79565.78331937849</v>
      </c>
    </row>
    <row r="94" spans="80:97">
      <c r="CB94" s="63">
        <v>18</v>
      </c>
      <c r="CC94" s="63">
        <f>data!$F39</f>
        <v>32</v>
      </c>
      <c r="CD94" s="63">
        <f>data!$G39</f>
        <v>60</v>
      </c>
      <c r="CE94" s="70">
        <f t="shared" si="15"/>
        <v>4400</v>
      </c>
      <c r="CF94" s="71">
        <f t="shared" si="16"/>
        <v>1</v>
      </c>
      <c r="CG94" s="71">
        <f t="shared" si="17"/>
        <v>1</v>
      </c>
      <c r="CH94" s="71">
        <f t="shared" si="18"/>
        <v>0.44509684663609994</v>
      </c>
      <c r="CI94" s="72">
        <f t="shared" si="19"/>
        <v>5725</v>
      </c>
      <c r="CJ94" s="72">
        <f t="shared" si="20"/>
        <v>2748.1197771587745</v>
      </c>
      <c r="CK94" s="70">
        <f t="shared" si="21"/>
        <v>264000</v>
      </c>
      <c r="CL94" s="72">
        <f t="shared" si="22"/>
        <v>1460</v>
      </c>
      <c r="CM94" s="72">
        <f t="shared" si="23"/>
        <v>607.28665207877452</v>
      </c>
      <c r="CN94" s="45">
        <f t="shared" si="24"/>
        <v>3.9212328767123288</v>
      </c>
      <c r="CO94" s="45">
        <f t="shared" si="25"/>
        <v>4.5252431742930863</v>
      </c>
      <c r="CP94" s="72">
        <f t="shared" si="26"/>
        <v>0</v>
      </c>
      <c r="CQ94" s="72">
        <f t="shared" si="27"/>
        <v>1080.459977755751</v>
      </c>
      <c r="CR94" s="72">
        <f t="shared" si="28"/>
        <v>0</v>
      </c>
      <c r="CS94" s="70">
        <f t="shared" si="29"/>
        <v>64827.59866534506</v>
      </c>
    </row>
    <row r="95" spans="80:97">
      <c r="CB95" s="63">
        <v>19</v>
      </c>
      <c r="CC95" s="63">
        <f>data!$F40</f>
        <v>33</v>
      </c>
      <c r="CD95" s="63">
        <f>data!$G40</f>
        <v>38</v>
      </c>
      <c r="CE95" s="70">
        <f t="shared" si="15"/>
        <v>4766.666666666667</v>
      </c>
      <c r="CF95" s="71">
        <f t="shared" si="16"/>
        <v>1</v>
      </c>
      <c r="CG95" s="71">
        <f t="shared" si="17"/>
        <v>1</v>
      </c>
      <c r="CH95" s="71">
        <f t="shared" si="18"/>
        <v>0.30087921819159358</v>
      </c>
      <c r="CI95" s="72">
        <f t="shared" si="19"/>
        <v>5650</v>
      </c>
      <c r="CJ95" s="72">
        <f t="shared" si="20"/>
        <v>2714.1597028783658</v>
      </c>
      <c r="CK95" s="70">
        <f t="shared" si="21"/>
        <v>181133.33333333334</v>
      </c>
      <c r="CL95" s="72">
        <f t="shared" si="22"/>
        <v>1480</v>
      </c>
      <c r="CM95" s="72">
        <f t="shared" si="23"/>
        <v>616.38220277169944</v>
      </c>
      <c r="CN95" s="45">
        <f t="shared" si="24"/>
        <v>3.8175675675675675</v>
      </c>
      <c r="CO95" s="45">
        <f t="shared" si="25"/>
        <v>4.4033713022107781</v>
      </c>
      <c r="CP95" s="72">
        <f t="shared" si="26"/>
        <v>0</v>
      </c>
      <c r="CQ95" s="72">
        <f t="shared" si="27"/>
        <v>1220.1553523536027</v>
      </c>
      <c r="CR95" s="72">
        <f t="shared" si="28"/>
        <v>0</v>
      </c>
      <c r="CS95" s="70">
        <f t="shared" si="29"/>
        <v>46365.903389436899</v>
      </c>
    </row>
    <row r="96" spans="80:97">
      <c r="CB96" s="63">
        <v>20</v>
      </c>
      <c r="CC96" s="63">
        <f>data!$F41</f>
        <v>34</v>
      </c>
      <c r="CD96" s="63">
        <f>data!$G41</f>
        <v>22</v>
      </c>
      <c r="CE96" s="70">
        <f t="shared" si="15"/>
        <v>5133.333333333333</v>
      </c>
      <c r="CF96" s="71">
        <f t="shared" si="16"/>
        <v>1</v>
      </c>
      <c r="CG96" s="71">
        <f t="shared" si="17"/>
        <v>1</v>
      </c>
      <c r="CH96" s="71">
        <f t="shared" si="18"/>
        <v>0.15257240914776932</v>
      </c>
      <c r="CI96" s="72">
        <f t="shared" si="19"/>
        <v>5575</v>
      </c>
      <c r="CJ96" s="72">
        <f t="shared" si="20"/>
        <v>2680.1996285979576</v>
      </c>
      <c r="CK96" s="70">
        <f t="shared" si="21"/>
        <v>112933.33333333333</v>
      </c>
      <c r="CL96" s="72">
        <f t="shared" si="22"/>
        <v>1500</v>
      </c>
      <c r="CM96" s="72">
        <f t="shared" si="23"/>
        <v>625.47775346462436</v>
      </c>
      <c r="CN96" s="45">
        <f t="shared" si="24"/>
        <v>3.7166666666666668</v>
      </c>
      <c r="CO96" s="45">
        <f t="shared" si="25"/>
        <v>4.2850438944501068</v>
      </c>
      <c r="CP96" s="72">
        <f t="shared" si="26"/>
        <v>0</v>
      </c>
      <c r="CQ96" s="72">
        <f t="shared" si="27"/>
        <v>1366.5720339927782</v>
      </c>
      <c r="CR96" s="72">
        <f t="shared" si="28"/>
        <v>0</v>
      </c>
      <c r="CS96" s="70">
        <f t="shared" si="29"/>
        <v>30064.58474784112</v>
      </c>
    </row>
    <row r="97" spans="79:97">
      <c r="CB97" s="63">
        <v>21</v>
      </c>
      <c r="CC97" s="63">
        <f>data!$F42</f>
        <v>35</v>
      </c>
      <c r="CD97" s="63">
        <f>data!$G42</f>
        <v>12</v>
      </c>
      <c r="CE97" s="70">
        <f t="shared" si="15"/>
        <v>5500</v>
      </c>
      <c r="CF97" s="71">
        <f t="shared" si="16"/>
        <v>1</v>
      </c>
      <c r="CG97" s="71">
        <f t="shared" si="17"/>
        <v>1</v>
      </c>
      <c r="CH97" s="71">
        <f t="shared" si="18"/>
        <v>0</v>
      </c>
      <c r="CI97" s="72">
        <f t="shared" si="19"/>
        <v>5500</v>
      </c>
      <c r="CJ97" s="72">
        <f t="shared" si="20"/>
        <v>2646.2395543175489</v>
      </c>
      <c r="CK97" s="70">
        <f t="shared" si="21"/>
        <v>66000</v>
      </c>
      <c r="CL97" s="72">
        <f t="shared" si="22"/>
        <v>1520</v>
      </c>
      <c r="CM97" s="72">
        <f t="shared" si="23"/>
        <v>634.57330415754916</v>
      </c>
      <c r="CN97" s="45">
        <f t="shared" si="24"/>
        <v>3.6184210526315788</v>
      </c>
      <c r="CO97" s="45">
        <f t="shared" si="25"/>
        <v>4.1701085390452413</v>
      </c>
      <c r="CP97" s="72">
        <f t="shared" si="26"/>
        <v>0</v>
      </c>
      <c r="CQ97" s="72">
        <f t="shared" si="27"/>
        <v>1520</v>
      </c>
      <c r="CR97" s="72">
        <f t="shared" si="28"/>
        <v>0</v>
      </c>
      <c r="CS97" s="70">
        <f t="shared" si="29"/>
        <v>18240</v>
      </c>
    </row>
    <row r="98" spans="79:97">
      <c r="CB98" s="63">
        <v>22</v>
      </c>
      <c r="CC98" s="63">
        <f>data!$F43</f>
        <v>36</v>
      </c>
      <c r="CD98" s="63">
        <f>data!$G43</f>
        <v>5</v>
      </c>
      <c r="CE98" s="70">
        <f t="shared" si="15"/>
        <v>5866.666666666667</v>
      </c>
      <c r="CF98" s="71">
        <f t="shared" si="16"/>
        <v>1</v>
      </c>
      <c r="CG98" s="71">
        <f t="shared" si="17"/>
        <v>1</v>
      </c>
      <c r="CH98" s="71">
        <f t="shared" si="18"/>
        <v>0</v>
      </c>
      <c r="CI98" s="72">
        <f t="shared" si="19"/>
        <v>5425</v>
      </c>
      <c r="CJ98" s="72">
        <f t="shared" si="20"/>
        <v>2612.2794800371403</v>
      </c>
      <c r="CK98" s="70">
        <f t="shared" si="21"/>
        <v>27125</v>
      </c>
      <c r="CL98" s="72">
        <f t="shared" si="22"/>
        <v>1540</v>
      </c>
      <c r="CM98" s="72">
        <f t="shared" si="23"/>
        <v>643.66885485047396</v>
      </c>
      <c r="CN98" s="45">
        <f t="shared" si="24"/>
        <v>3.5227272727272729</v>
      </c>
      <c r="CO98" s="45">
        <f t="shared" si="25"/>
        <v>4.05842143883749</v>
      </c>
      <c r="CP98" s="72">
        <f t="shared" si="26"/>
        <v>0</v>
      </c>
      <c r="CQ98" s="72">
        <f t="shared" si="27"/>
        <v>0</v>
      </c>
      <c r="CR98" s="72">
        <f t="shared" si="28"/>
        <v>1540</v>
      </c>
      <c r="CS98" s="70">
        <f t="shared" si="29"/>
        <v>7700</v>
      </c>
    </row>
    <row r="99" spans="79:97">
      <c r="CB99" s="63">
        <v>23</v>
      </c>
      <c r="CC99" s="63">
        <f>data!$F44</f>
        <v>37</v>
      </c>
      <c r="CD99" s="63">
        <f>data!$G44</f>
        <v>3</v>
      </c>
      <c r="CE99" s="70">
        <f t="shared" si="15"/>
        <v>6233.333333333333</v>
      </c>
      <c r="CF99" s="71">
        <f t="shared" si="16"/>
        <v>1</v>
      </c>
      <c r="CG99" s="71">
        <f t="shared" si="17"/>
        <v>1</v>
      </c>
      <c r="CH99" s="71">
        <f t="shared" si="18"/>
        <v>0</v>
      </c>
      <c r="CI99" s="72">
        <f t="shared" si="19"/>
        <v>5350</v>
      </c>
      <c r="CJ99" s="72">
        <f t="shared" si="20"/>
        <v>2578.3194057567321</v>
      </c>
      <c r="CK99" s="70">
        <f t="shared" si="21"/>
        <v>16050</v>
      </c>
      <c r="CL99" s="72">
        <f t="shared" si="22"/>
        <v>1560</v>
      </c>
      <c r="CM99" s="72">
        <f t="shared" si="23"/>
        <v>652.76440554339888</v>
      </c>
      <c r="CN99" s="45">
        <f t="shared" si="24"/>
        <v>3.4294871794871793</v>
      </c>
      <c r="CO99" s="45">
        <f t="shared" si="25"/>
        <v>3.9498468112862093</v>
      </c>
      <c r="CP99" s="72">
        <f t="shared" si="26"/>
        <v>0</v>
      </c>
      <c r="CQ99" s="72">
        <f t="shared" si="27"/>
        <v>0</v>
      </c>
      <c r="CR99" s="72">
        <f t="shared" si="28"/>
        <v>1560</v>
      </c>
      <c r="CS99" s="70">
        <f t="shared" si="29"/>
        <v>4680</v>
      </c>
    </row>
    <row r="100" spans="79:97">
      <c r="CB100" s="63">
        <v>24</v>
      </c>
      <c r="CC100" s="63">
        <f>data!$F45</f>
        <v>38</v>
      </c>
      <c r="CD100" s="63">
        <f>data!$G45</f>
        <v>1</v>
      </c>
      <c r="CE100" s="70">
        <f t="shared" si="15"/>
        <v>6600</v>
      </c>
      <c r="CF100" s="71">
        <f t="shared" si="16"/>
        <v>1</v>
      </c>
      <c r="CG100" s="71">
        <f t="shared" si="17"/>
        <v>1</v>
      </c>
      <c r="CH100" s="71">
        <f t="shared" si="18"/>
        <v>0</v>
      </c>
      <c r="CI100" s="72">
        <f t="shared" si="19"/>
        <v>5275</v>
      </c>
      <c r="CJ100" s="72">
        <f t="shared" si="20"/>
        <v>2544.3593314763234</v>
      </c>
      <c r="CK100" s="70">
        <f t="shared" si="21"/>
        <v>5275</v>
      </c>
      <c r="CL100" s="72">
        <f t="shared" si="22"/>
        <v>1580</v>
      </c>
      <c r="CM100" s="72">
        <f t="shared" si="23"/>
        <v>661.8599562363238</v>
      </c>
      <c r="CN100" s="45">
        <f t="shared" si="24"/>
        <v>3.3386075949367089</v>
      </c>
      <c r="CO100" s="45">
        <f t="shared" si="25"/>
        <v>3.8442563377679768</v>
      </c>
      <c r="CP100" s="72">
        <f t="shared" si="26"/>
        <v>0</v>
      </c>
      <c r="CQ100" s="72">
        <f t="shared" si="27"/>
        <v>0</v>
      </c>
      <c r="CR100" s="72">
        <f t="shared" si="28"/>
        <v>1580</v>
      </c>
      <c r="CS100" s="70">
        <f t="shared" si="29"/>
        <v>1580</v>
      </c>
    </row>
    <row r="101" spans="79:97">
      <c r="CB101" s="63">
        <v>25</v>
      </c>
      <c r="CC101" s="63">
        <f>data!$F46</f>
        <v>39</v>
      </c>
      <c r="CD101" s="63">
        <f>data!$G46</f>
        <v>0</v>
      </c>
      <c r="CE101" s="70">
        <f t="shared" si="15"/>
        <v>6966.666666666667</v>
      </c>
      <c r="CF101" s="71">
        <f t="shared" si="16"/>
        <v>1</v>
      </c>
      <c r="CG101" s="71">
        <f t="shared" si="17"/>
        <v>1</v>
      </c>
      <c r="CH101" s="71">
        <f t="shared" si="18"/>
        <v>0</v>
      </c>
      <c r="CI101" s="72">
        <f t="shared" si="19"/>
        <v>5200</v>
      </c>
      <c r="CJ101" s="72">
        <f t="shared" si="20"/>
        <v>2510.3992571959147</v>
      </c>
      <c r="CK101" s="70">
        <f t="shared" si="21"/>
        <v>0</v>
      </c>
      <c r="CL101" s="72">
        <f t="shared" si="22"/>
        <v>1600</v>
      </c>
      <c r="CM101" s="72">
        <f t="shared" si="23"/>
        <v>670.9555069292486</v>
      </c>
      <c r="CN101" s="45">
        <f t="shared" si="24"/>
        <v>3.25</v>
      </c>
      <c r="CO101" s="45">
        <f t="shared" si="25"/>
        <v>3.7415286576679563</v>
      </c>
      <c r="CP101" s="72">
        <f t="shared" si="26"/>
        <v>0</v>
      </c>
      <c r="CQ101" s="72">
        <f t="shared" si="27"/>
        <v>0</v>
      </c>
      <c r="CR101" s="72">
        <f t="shared" si="28"/>
        <v>1600</v>
      </c>
      <c r="CS101" s="70">
        <f t="shared" si="29"/>
        <v>0</v>
      </c>
    </row>
    <row r="102" spans="79:97">
      <c r="CB102" s="63">
        <v>26</v>
      </c>
      <c r="CC102" s="63">
        <f>data!$F47</f>
        <v>40</v>
      </c>
      <c r="CD102" s="63">
        <f>data!$G47</f>
        <v>0</v>
      </c>
      <c r="CE102" s="70">
        <f t="shared" si="15"/>
        <v>7333.333333333333</v>
      </c>
      <c r="CF102" s="71">
        <f t="shared" si="16"/>
        <v>1</v>
      </c>
      <c r="CG102" s="71">
        <f t="shared" si="17"/>
        <v>1</v>
      </c>
      <c r="CH102" s="71">
        <f t="shared" si="18"/>
        <v>0</v>
      </c>
      <c r="CI102" s="72">
        <f t="shared" si="19"/>
        <v>5125</v>
      </c>
      <c r="CJ102" s="72">
        <f t="shared" si="20"/>
        <v>2476.4391829155065</v>
      </c>
      <c r="CK102" s="70">
        <f t="shared" si="21"/>
        <v>0</v>
      </c>
      <c r="CL102" s="72">
        <f t="shared" si="22"/>
        <v>1620</v>
      </c>
      <c r="CM102" s="72">
        <f t="shared" si="23"/>
        <v>680.0510576221734</v>
      </c>
      <c r="CN102" s="45">
        <f t="shared" si="24"/>
        <v>3.1635802469135803</v>
      </c>
      <c r="CO102" s="45">
        <f t="shared" si="25"/>
        <v>3.6415489030698347</v>
      </c>
      <c r="CP102" s="72">
        <f t="shared" si="26"/>
        <v>0</v>
      </c>
      <c r="CQ102" s="72">
        <f t="shared" si="27"/>
        <v>0</v>
      </c>
      <c r="CR102" s="72">
        <f t="shared" si="28"/>
        <v>1620</v>
      </c>
      <c r="CS102" s="70">
        <f t="shared" si="29"/>
        <v>0</v>
      </c>
    </row>
    <row r="103" spans="79:97">
      <c r="CB103" s="63">
        <v>27</v>
      </c>
      <c r="CC103" s="63">
        <f>data!$F48</f>
        <v>41</v>
      </c>
      <c r="CD103" s="63">
        <f>data!$G48</f>
        <v>0</v>
      </c>
      <c r="CE103" s="70">
        <f t="shared" si="15"/>
        <v>7700</v>
      </c>
      <c r="CF103" s="71">
        <f t="shared" si="16"/>
        <v>1</v>
      </c>
      <c r="CG103" s="71">
        <f t="shared" si="17"/>
        <v>1</v>
      </c>
      <c r="CH103" s="71">
        <f t="shared" si="18"/>
        <v>0</v>
      </c>
      <c r="CI103" s="72">
        <f t="shared" si="19"/>
        <v>5050</v>
      </c>
      <c r="CJ103" s="72">
        <f t="shared" si="20"/>
        <v>2442.4791086350979</v>
      </c>
      <c r="CK103" s="70">
        <f t="shared" si="21"/>
        <v>0</v>
      </c>
      <c r="CL103" s="72">
        <f t="shared" si="22"/>
        <v>1640</v>
      </c>
      <c r="CM103" s="72">
        <f t="shared" si="23"/>
        <v>689.14660831509832</v>
      </c>
      <c r="CN103" s="45">
        <f t="shared" si="24"/>
        <v>3.0792682926829267</v>
      </c>
      <c r="CO103" s="45">
        <f t="shared" si="25"/>
        <v>3.5442082702935163</v>
      </c>
      <c r="CP103" s="72">
        <f t="shared" si="26"/>
        <v>0</v>
      </c>
      <c r="CQ103" s="72">
        <f t="shared" si="27"/>
        <v>0</v>
      </c>
      <c r="CR103" s="72">
        <f t="shared" si="28"/>
        <v>1640</v>
      </c>
      <c r="CS103" s="70">
        <f t="shared" si="29"/>
        <v>0</v>
      </c>
    </row>
    <row r="104" spans="79:97">
      <c r="CB104" s="63">
        <v>28</v>
      </c>
      <c r="CC104" s="63">
        <f>data!$F49</f>
        <v>42</v>
      </c>
      <c r="CD104" s="63">
        <f>data!$G49</f>
        <v>0</v>
      </c>
      <c r="CE104" s="70">
        <f t="shared" si="15"/>
        <v>8066.666666666667</v>
      </c>
      <c r="CF104" s="71">
        <f t="shared" si="16"/>
        <v>1</v>
      </c>
      <c r="CG104" s="71">
        <f t="shared" si="17"/>
        <v>1</v>
      </c>
      <c r="CH104" s="71">
        <f t="shared" si="18"/>
        <v>0</v>
      </c>
      <c r="CI104" s="72">
        <f t="shared" si="19"/>
        <v>4975</v>
      </c>
      <c r="CJ104" s="72">
        <f t="shared" si="20"/>
        <v>2408.5190343546892</v>
      </c>
      <c r="CK104" s="70">
        <f t="shared" si="21"/>
        <v>0</v>
      </c>
      <c r="CL104" s="72">
        <f t="shared" si="22"/>
        <v>1660</v>
      </c>
      <c r="CM104" s="72">
        <f t="shared" si="23"/>
        <v>698.24215900802324</v>
      </c>
      <c r="CN104" s="45">
        <f t="shared" si="24"/>
        <v>2.9969879518072289</v>
      </c>
      <c r="CO104" s="45">
        <f t="shared" si="25"/>
        <v>3.4494036249206399</v>
      </c>
      <c r="CP104" s="72">
        <f t="shared" si="26"/>
        <v>0</v>
      </c>
      <c r="CQ104" s="72">
        <f t="shared" si="27"/>
        <v>0</v>
      </c>
      <c r="CR104" s="72">
        <f t="shared" si="28"/>
        <v>1660</v>
      </c>
      <c r="CS104" s="70">
        <f t="shared" si="29"/>
        <v>0</v>
      </c>
    </row>
    <row r="105" spans="79:97">
      <c r="CB105" s="63">
        <v>29</v>
      </c>
      <c r="CC105" s="63">
        <f>data!$F50</f>
        <v>43</v>
      </c>
      <c r="CD105" s="63">
        <f>data!$G50</f>
        <v>0</v>
      </c>
      <c r="CE105" s="70">
        <f t="shared" si="15"/>
        <v>8433.3333333333339</v>
      </c>
      <c r="CF105" s="71">
        <f t="shared" si="16"/>
        <v>1</v>
      </c>
      <c r="CG105" s="71">
        <f t="shared" si="17"/>
        <v>1</v>
      </c>
      <c r="CH105" s="71">
        <f t="shared" si="18"/>
        <v>0</v>
      </c>
      <c r="CI105" s="72">
        <f t="shared" si="19"/>
        <v>4900</v>
      </c>
      <c r="CJ105" s="72">
        <f t="shared" si="20"/>
        <v>2374.558960074281</v>
      </c>
      <c r="CK105" s="70">
        <f t="shared" si="21"/>
        <v>0</v>
      </c>
      <c r="CL105" s="72">
        <f t="shared" si="22"/>
        <v>1680</v>
      </c>
      <c r="CM105" s="72">
        <f t="shared" si="23"/>
        <v>707.33770970094804</v>
      </c>
      <c r="CN105" s="45">
        <f t="shared" si="24"/>
        <v>2.9166666666666665</v>
      </c>
      <c r="CO105" s="45">
        <f t="shared" si="25"/>
        <v>3.3570371372935983</v>
      </c>
      <c r="CP105" s="72">
        <f t="shared" si="26"/>
        <v>0</v>
      </c>
      <c r="CQ105" s="72">
        <f t="shared" si="27"/>
        <v>0</v>
      </c>
      <c r="CR105" s="72">
        <f t="shared" si="28"/>
        <v>1680</v>
      </c>
      <c r="CS105" s="70">
        <f t="shared" si="29"/>
        <v>0</v>
      </c>
    </row>
    <row r="106" spans="79:97">
      <c r="CB106" s="63">
        <v>30</v>
      </c>
      <c r="CC106" s="63">
        <f>data!$F51</f>
        <v>44</v>
      </c>
      <c r="CD106" s="63">
        <f>data!$G51</f>
        <v>0</v>
      </c>
      <c r="CE106" s="70">
        <f t="shared" si="15"/>
        <v>8800</v>
      </c>
      <c r="CF106" s="71">
        <f t="shared" si="16"/>
        <v>1</v>
      </c>
      <c r="CG106" s="71">
        <f t="shared" si="17"/>
        <v>1</v>
      </c>
      <c r="CH106" s="71">
        <f t="shared" si="18"/>
        <v>0</v>
      </c>
      <c r="CI106" s="72">
        <f t="shared" si="19"/>
        <v>4825</v>
      </c>
      <c r="CJ106" s="72">
        <f t="shared" si="20"/>
        <v>2340.5988857938723</v>
      </c>
      <c r="CK106" s="70">
        <f t="shared" si="21"/>
        <v>0</v>
      </c>
      <c r="CL106" s="72">
        <f t="shared" si="22"/>
        <v>1700</v>
      </c>
      <c r="CM106" s="72">
        <f t="shared" si="23"/>
        <v>716.43326039387284</v>
      </c>
      <c r="CN106" s="45">
        <f t="shared" si="24"/>
        <v>2.8382352941176472</v>
      </c>
      <c r="CO106" s="45">
        <f t="shared" si="25"/>
        <v>3.2670159457799088</v>
      </c>
      <c r="CP106" s="72">
        <f t="shared" si="26"/>
        <v>0</v>
      </c>
      <c r="CQ106" s="72">
        <f t="shared" si="27"/>
        <v>0</v>
      </c>
      <c r="CR106" s="72">
        <f t="shared" si="28"/>
        <v>1700</v>
      </c>
      <c r="CS106" s="70">
        <f t="shared" si="29"/>
        <v>0</v>
      </c>
    </row>
    <row r="107" spans="79:97">
      <c r="CB107" s="63">
        <v>31</v>
      </c>
      <c r="CC107" s="63">
        <f>data!$F52</f>
        <v>45</v>
      </c>
      <c r="CD107" s="63">
        <f>data!$G52</f>
        <v>0</v>
      </c>
      <c r="CE107" s="70">
        <f t="shared" si="15"/>
        <v>9166.6666666666661</v>
      </c>
      <c r="CF107" s="71">
        <f t="shared" si="16"/>
        <v>1</v>
      </c>
      <c r="CG107" s="71">
        <f t="shared" si="17"/>
        <v>1</v>
      </c>
      <c r="CH107" s="71">
        <f t="shared" si="18"/>
        <v>0</v>
      </c>
      <c r="CI107" s="72">
        <f t="shared" si="19"/>
        <v>4750</v>
      </c>
      <c r="CJ107" s="72">
        <f t="shared" si="20"/>
        <v>2306.6388115134637</v>
      </c>
      <c r="CK107" s="70">
        <f t="shared" si="21"/>
        <v>0</v>
      </c>
      <c r="CL107" s="72">
        <f t="shared" si="22"/>
        <v>1720</v>
      </c>
      <c r="CM107" s="72">
        <f t="shared" si="23"/>
        <v>725.52881108679776</v>
      </c>
      <c r="CN107" s="45">
        <f t="shared" si="24"/>
        <v>2.7616279069767442</v>
      </c>
      <c r="CO107" s="45">
        <f t="shared" si="25"/>
        <v>3.1792518453653962</v>
      </c>
      <c r="CP107" s="72">
        <f t="shared" si="26"/>
        <v>0</v>
      </c>
      <c r="CQ107" s="72">
        <f t="shared" si="27"/>
        <v>0</v>
      </c>
      <c r="CR107" s="72">
        <f t="shared" si="28"/>
        <v>1720</v>
      </c>
      <c r="CS107" s="70">
        <f t="shared" si="29"/>
        <v>0</v>
      </c>
    </row>
    <row r="108" spans="79:97">
      <c r="CB108" s="63"/>
      <c r="CC108" s="63"/>
      <c r="CD108" s="63">
        <f>SUM(CD77:CD107)</f>
        <v>2080</v>
      </c>
      <c r="CE108" s="63"/>
      <c r="CF108" s="63"/>
      <c r="CG108" s="63"/>
      <c r="CH108" s="63"/>
      <c r="CI108" s="63"/>
      <c r="CK108" s="62">
        <f>SUM(CK77:CK107)</f>
        <v>4545616.666666666</v>
      </c>
      <c r="CL108" s="44"/>
      <c r="CM108" s="44"/>
      <c r="CN108" s="44"/>
      <c r="CO108" s="44"/>
      <c r="CP108" s="44"/>
      <c r="CQ108" s="44"/>
      <c r="CR108" s="44"/>
      <c r="CS108" s="77">
        <f>SUM(CS77:CS107)</f>
        <v>977708.81467038998</v>
      </c>
    </row>
    <row r="110" spans="79:97">
      <c r="CA110" s="28" t="s">
        <v>75</v>
      </c>
      <c r="CF110" s="29" t="str">
        <f>data!I7</f>
        <v>International</v>
      </c>
      <c r="CQ110" s="30"/>
    </row>
    <row r="111" spans="79:97">
      <c r="CA111" s="28"/>
      <c r="CQ111" s="30"/>
    </row>
    <row r="112" spans="79:97">
      <c r="CA112" s="28"/>
      <c r="CB112" s="37" t="s">
        <v>177</v>
      </c>
      <c r="CC112" s="38">
        <f>'Two-stage Capacity unit'!$H$29</f>
        <v>4800</v>
      </c>
      <c r="CD112" s="39"/>
      <c r="CE112" s="40" t="s">
        <v>0</v>
      </c>
      <c r="CF112" s="41">
        <f>$CK$163/$CS$163</f>
        <v>3.9629309211920294</v>
      </c>
      <c r="CO112" s="42"/>
      <c r="CQ112" s="43"/>
    </row>
    <row r="113" spans="79:95">
      <c r="CA113" s="28"/>
      <c r="CQ113" s="43"/>
    </row>
    <row r="114" spans="79:95" ht="15">
      <c r="CA114" s="28"/>
      <c r="CC114" s="44" t="s">
        <v>199</v>
      </c>
      <c r="CD114" s="44" t="s">
        <v>335</v>
      </c>
      <c r="CG114" s="44" t="s">
        <v>19</v>
      </c>
      <c r="CH114" s="61">
        <f>IF('Two-stage Capacity unit'!$BD$28="Required test",data!$I$14,IF('Two-stage Capacity unit'!$BD$43="Default",data!$I$14,$CK$118))</f>
        <v>0.27</v>
      </c>
      <c r="CK114" s="40" t="s">
        <v>77</v>
      </c>
      <c r="CL114" s="40" t="s">
        <v>78</v>
      </c>
    </row>
    <row r="115" spans="79:95">
      <c r="CA115" s="28"/>
      <c r="CB115" s="51" t="s">
        <v>18</v>
      </c>
      <c r="CC115" s="52">
        <f>'Two-stage Capacity unit'!$H$29</f>
        <v>4800</v>
      </c>
      <c r="CD115" s="52">
        <f>IF('Two-stage Capacity unit'!$BD$28="Required test",$CD$120*$CH$117,IF('Two-stage Capacity unit'!$BD$34="Default",$CD$120*$CH$117,'Two-stage Capacity unit'!$H$30))</f>
        <v>2233.4</v>
      </c>
      <c r="CG115" s="40" t="s">
        <v>336</v>
      </c>
      <c r="CH115" s="44">
        <f>data!$I$15</f>
        <v>1.077</v>
      </c>
      <c r="CJ115" s="40" t="s">
        <v>18</v>
      </c>
      <c r="CK115" s="40">
        <f>'Two-stage Capacity unit'!$H$45</f>
        <v>2500</v>
      </c>
      <c r="CL115" s="40">
        <f>'Two-stage Capacity unit'!$H$44</f>
        <v>3300</v>
      </c>
    </row>
    <row r="116" spans="79:95">
      <c r="CA116" s="28"/>
      <c r="CB116" s="51" t="s">
        <v>83</v>
      </c>
      <c r="CC116" s="52">
        <f>'Two-stage Capacity unit'!$L$29</f>
        <v>1850</v>
      </c>
      <c r="CD116" s="52">
        <f>IF('Two-stage Capacity unit'!$BD$28="Required test",$CD$121*$CH$118,IF('Two-stage Capacity unit'!$BD$34="Default",$CD$121*$CH$118,'Two-stage Capacity unit'!$L$30))</f>
        <v>750</v>
      </c>
      <c r="CG116" s="40" t="s">
        <v>190</v>
      </c>
      <c r="CH116" s="44">
        <f>data!$I$16</f>
        <v>0.91400000000000003</v>
      </c>
      <c r="CJ116" s="40" t="s">
        <v>1</v>
      </c>
      <c r="CK116" s="40">
        <f>'Two-stage Capacity unit'!$L$45</f>
        <v>480</v>
      </c>
      <c r="CL116" s="40">
        <f>'Two-stage Capacity unit'!$L$44</f>
        <v>580</v>
      </c>
    </row>
    <row r="117" spans="79:95">
      <c r="CA117" s="28"/>
      <c r="CB117" s="44" t="s">
        <v>152</v>
      </c>
      <c r="CC117" s="61">
        <f>$CC$115/$CC$116</f>
        <v>2.5945945945945947</v>
      </c>
      <c r="CD117" s="61">
        <f>$CD$115/$CD$116</f>
        <v>2.9778666666666669</v>
      </c>
      <c r="CG117" s="40" t="s">
        <v>337</v>
      </c>
      <c r="CH117" s="44">
        <f>data!$I$17</f>
        <v>0.85899999999999999</v>
      </c>
      <c r="CJ117" s="40" t="s">
        <v>152</v>
      </c>
      <c r="CK117" s="41">
        <f>$CK$115/$CK$116</f>
        <v>5.208333333333333</v>
      </c>
      <c r="CL117" s="41">
        <f>$CL$115/$CL$116</f>
        <v>5.6896551724137927</v>
      </c>
    </row>
    <row r="118" spans="79:95">
      <c r="CA118" s="28"/>
      <c r="CB118" s="44"/>
      <c r="CG118" s="40" t="s">
        <v>338</v>
      </c>
      <c r="CH118" s="44">
        <f>data!$I$18</f>
        <v>1.25</v>
      </c>
      <c r="CJ118" s="40" t="s">
        <v>96</v>
      </c>
      <c r="CK118" s="150">
        <f>(1-($CK$117/$CL$117))/(1-($CK$115/$CL$115))</f>
        <v>0.34895833333333315</v>
      </c>
      <c r="CL118" s="150"/>
    </row>
    <row r="119" spans="79:95" ht="15">
      <c r="CA119" s="28"/>
      <c r="CB119" s="44"/>
      <c r="CC119" s="44" t="s">
        <v>269</v>
      </c>
      <c r="CD119" s="44" t="s">
        <v>136</v>
      </c>
      <c r="CG119" s="44" t="s">
        <v>339</v>
      </c>
      <c r="CH119" s="63">
        <f>data!$I$11</f>
        <v>20</v>
      </c>
    </row>
    <row r="120" spans="79:95" ht="15">
      <c r="CA120" s="28"/>
      <c r="CB120" s="51" t="s">
        <v>18</v>
      </c>
      <c r="CC120" s="52">
        <f>'Two-stage Capacity unit'!$H$34</f>
        <v>5500</v>
      </c>
      <c r="CD120" s="52">
        <f>'Two-stage Capacity unit'!$H$35</f>
        <v>2600</v>
      </c>
      <c r="CG120" s="44" t="s">
        <v>148</v>
      </c>
      <c r="CH120" s="63">
        <f>data!$I$12</f>
        <v>46</v>
      </c>
    </row>
    <row r="121" spans="79:95">
      <c r="CA121" s="28"/>
      <c r="CB121" s="51" t="s">
        <v>83</v>
      </c>
      <c r="CC121" s="52">
        <f>'Two-stage Capacity unit'!$L$34</f>
        <v>1520</v>
      </c>
      <c r="CD121" s="52">
        <f>'Two-stage Capacity unit'!$L$35</f>
        <v>600</v>
      </c>
    </row>
    <row r="122" spans="79:95">
      <c r="CA122" s="28"/>
      <c r="CB122" s="44" t="s">
        <v>313</v>
      </c>
      <c r="CC122" s="61">
        <f>$CC$120/$CC$121</f>
        <v>3.6184210526315788</v>
      </c>
      <c r="CD122" s="61">
        <f>$CD$120/$CD$121</f>
        <v>4.333333333333333</v>
      </c>
    </row>
    <row r="123" spans="79:95">
      <c r="CA123" s="28"/>
      <c r="CB123" s="44"/>
      <c r="CC123" s="44"/>
      <c r="CD123" s="63"/>
    </row>
    <row r="124" spans="79:95" ht="15">
      <c r="CA124" s="28"/>
      <c r="CB124" s="44"/>
      <c r="CC124" s="44" t="s">
        <v>272</v>
      </c>
      <c r="CD124" s="44" t="s">
        <v>340</v>
      </c>
    </row>
    <row r="125" spans="79:95">
      <c r="CA125" s="28"/>
      <c r="CB125" s="51" t="s">
        <v>18</v>
      </c>
      <c r="CC125" s="52">
        <f>IF('Two-stage Capacity unit'!$BD$28="Required test",$CC$120*$CH$115,IF('Two-stage Capacity unit'!$BD$39="Default",$CC$120*$CH$115,'Two-stage Capacity unit'!$H$39))</f>
        <v>5923.5</v>
      </c>
      <c r="CD125" s="52">
        <f>IF('Two-stage Capacity unit'!$BD$28="Required test",$CD$120*$CH$115,IF('Two-stage Capacity unit'!$BD$40="Default",$CD$120*$CH$115,'Two-stage Capacity unit'!$H$40))</f>
        <v>2800.2</v>
      </c>
    </row>
    <row r="126" spans="79:95">
      <c r="CA126" s="28"/>
      <c r="CB126" s="51" t="s">
        <v>83</v>
      </c>
      <c r="CC126" s="52">
        <f>IF('Two-stage Capacity unit'!$BD$28="Required test",$CC$121*$CH$116,IF('Two-stage Capacity unit'!$BD$39="Default",$CC$121*$CH$116,'Two-stage Capacity unit'!$L$39))</f>
        <v>1389.28</v>
      </c>
      <c r="CD126" s="52">
        <f>IF('Two-stage Capacity unit'!$BD$28="Required test",$CD$121*$CH$116,IF('Two-stage Capacity unit'!$BD$40="Default",$CD$121*$CH$116,'Two-stage Capacity unit'!$L$40))</f>
        <v>548.4</v>
      </c>
    </row>
    <row r="127" spans="79:95">
      <c r="CA127" s="28"/>
      <c r="CB127" s="44" t="s">
        <v>313</v>
      </c>
      <c r="CC127" s="61">
        <f>$CC$125/$CC$126</f>
        <v>4.2637193366348036</v>
      </c>
      <c r="CD127" s="61">
        <f>$CD$125/$CD$126</f>
        <v>5.1061269146608312</v>
      </c>
    </row>
    <row r="128" spans="79:95">
      <c r="CA128" s="28"/>
    </row>
    <row r="129" spans="79:97">
      <c r="CA129" s="28"/>
      <c r="CB129" s="97" t="s">
        <v>5</v>
      </c>
      <c r="CC129" s="98" t="s">
        <v>7</v>
      </c>
      <c r="CD129" s="97" t="s">
        <v>8</v>
      </c>
      <c r="CE129" s="66" t="s">
        <v>9</v>
      </c>
      <c r="CF129" s="66" t="s">
        <v>10</v>
      </c>
      <c r="CG129" s="99" t="s">
        <v>20</v>
      </c>
      <c r="CH129" s="99"/>
      <c r="CI129" s="99" t="s">
        <v>11</v>
      </c>
      <c r="CJ129" s="99"/>
      <c r="CK129" s="67" t="s">
        <v>2</v>
      </c>
      <c r="CL129" s="99" t="s">
        <v>13</v>
      </c>
      <c r="CM129" s="99"/>
      <c r="CN129" s="99" t="s">
        <v>16</v>
      </c>
      <c r="CO129" s="99"/>
      <c r="CP129" s="99" t="s">
        <v>17</v>
      </c>
      <c r="CQ129" s="99"/>
      <c r="CR129" s="99"/>
      <c r="CS129" s="67" t="s">
        <v>3</v>
      </c>
    </row>
    <row r="130" spans="79:97">
      <c r="CB130" s="97"/>
      <c r="CC130" s="98"/>
      <c r="CD130" s="97"/>
      <c r="CE130" s="67" t="s">
        <v>298</v>
      </c>
      <c r="CF130" s="96" t="s">
        <v>154</v>
      </c>
      <c r="CG130" s="96" t="s">
        <v>315</v>
      </c>
      <c r="CH130" s="96" t="s">
        <v>299</v>
      </c>
      <c r="CI130" s="68" t="s">
        <v>4</v>
      </c>
      <c r="CJ130" s="68" t="s">
        <v>12</v>
      </c>
      <c r="CK130" s="96" t="s">
        <v>317</v>
      </c>
      <c r="CL130" s="68" t="s">
        <v>4</v>
      </c>
      <c r="CM130" s="68" t="s">
        <v>12</v>
      </c>
      <c r="CN130" s="68" t="s">
        <v>4</v>
      </c>
      <c r="CO130" s="68" t="s">
        <v>98</v>
      </c>
      <c r="CP130" s="68" t="s">
        <v>156</v>
      </c>
      <c r="CQ130" s="68" t="s">
        <v>341</v>
      </c>
      <c r="CR130" s="68" t="s">
        <v>84</v>
      </c>
      <c r="CS130" s="96" t="s">
        <v>342</v>
      </c>
    </row>
    <row r="131" spans="79:97" ht="15">
      <c r="CB131" s="63" t="s">
        <v>6</v>
      </c>
      <c r="CC131" s="63" t="s">
        <v>343</v>
      </c>
      <c r="CD131" s="63" t="s">
        <v>160</v>
      </c>
      <c r="CE131" s="68" t="s">
        <v>15</v>
      </c>
      <c r="CF131" s="99"/>
      <c r="CG131" s="99"/>
      <c r="CH131" s="99"/>
      <c r="CI131" s="67" t="s">
        <v>161</v>
      </c>
      <c r="CJ131" s="67" t="s">
        <v>163</v>
      </c>
      <c r="CK131" s="96"/>
      <c r="CL131" s="68" t="s">
        <v>164</v>
      </c>
      <c r="CM131" s="68" t="s">
        <v>344</v>
      </c>
      <c r="CN131" s="67" t="s">
        <v>258</v>
      </c>
      <c r="CO131" s="67" t="s">
        <v>323</v>
      </c>
      <c r="CP131" s="67" t="s">
        <v>173</v>
      </c>
      <c r="CQ131" s="67" t="s">
        <v>324</v>
      </c>
      <c r="CR131" s="67" t="s">
        <v>176</v>
      </c>
      <c r="CS131" s="96"/>
    </row>
    <row r="132" spans="79:97">
      <c r="CB132" s="63">
        <v>1</v>
      </c>
      <c r="CC132" s="63">
        <f>data!$I22</f>
        <v>20</v>
      </c>
      <c r="CD132" s="63">
        <f>data!$J22</f>
        <v>0</v>
      </c>
      <c r="CE132" s="70">
        <f t="shared" ref="CE132:CE162" si="30">$CC$112*($CC132-$CH$119)/($CH$120-$CH$119)</f>
        <v>0</v>
      </c>
      <c r="CF132" s="71">
        <f t="shared" ref="CF132:CF162" si="31">1-$CH$114*(1-$CG132)</f>
        <v>0.73</v>
      </c>
      <c r="CG132" s="71">
        <f t="shared" ref="CG132:CG162" si="32">IF($CE132&lt;$CJ132,$CE132/$CJ132,1)</f>
        <v>0</v>
      </c>
      <c r="CH132" s="71">
        <f t="shared" ref="CH132:CH162" si="33">IF(($CI132-$CE132)/($CI132-$CJ132)&gt;1,1,IF(($CI132-$CE132)/($CI132-$CJ132)&lt;0,0,($CI132-$CE132)/($CI132-$CJ132)))</f>
        <v>1</v>
      </c>
      <c r="CI132" s="72">
        <f t="shared" ref="CI132:CI162" si="34">IF($CC132&lt;=35,$CC$120+($CC$125-$CC$120)/(35-29)*(35-$CC132),$CC$115+($CC$120-$CC$115)/(46-35)*(46-$CC132))</f>
        <v>6558.75</v>
      </c>
      <c r="CJ132" s="72">
        <f t="shared" ref="CJ132:CJ162" si="35">IF($CC132&lt;=35,$CD$120+($CD$125-$CD$120)/(35-29)*(35-$CC132),$CD$115+($CD$120-$CD$115)/(46-35)*(46-$CC132))</f>
        <v>3100.4999999999995</v>
      </c>
      <c r="CK132" s="70">
        <f t="shared" ref="CK132:CK162" si="36">IF($CE132&lt;$CI132,$CE132*$CD132,$CI132*$CD132)</f>
        <v>0</v>
      </c>
      <c r="CL132" s="72">
        <f t="shared" ref="CL132:CL162" si="37">IF($CC132&lt;=35,$CC$121+($CC$126-$CC$121)/(35-29)*(35-$CC132),$CC$116+($CC$121-$CC$116)/(46-35)*(46-$CC132))</f>
        <v>1193.1999999999998</v>
      </c>
      <c r="CM132" s="72">
        <f t="shared" ref="CM132:CM162" si="38">IF($CC132&lt;=35,$CD$121+(($CD$126-$CD$121)/(35-29)*(35-$CC132)),($CD$116+($CD$121-$CD$116)/(46-35)*(46-$CC132)))</f>
        <v>470.99999999999994</v>
      </c>
      <c r="CN132" s="71">
        <f t="shared" ref="CN132:CN162" si="39">$CI132/$CL132</f>
        <v>5.4967733825008391</v>
      </c>
      <c r="CO132" s="71">
        <f t="shared" ref="CO132:CO162" si="40">$CJ132/$CM132</f>
        <v>6.5828025477707008</v>
      </c>
      <c r="CP132" s="72">
        <f t="shared" ref="CP132:CP162" si="41">IF($CE132&lt;=$CJ132,$CG132*$CM132/$CF132,0)</f>
        <v>0</v>
      </c>
      <c r="CQ132" s="72">
        <f t="shared" ref="CQ132:CQ162" si="42">IF($CJ132&lt;$CE132,IF($CE132&lt;=$CI132,$CH132*$CM132+(1-$CH132)*$CL132,0),0)</f>
        <v>0</v>
      </c>
      <c r="CR132" s="72">
        <f t="shared" ref="CR132:CR162" si="43">IF($CE132&gt;$CI132,$CL132,0)</f>
        <v>0</v>
      </c>
      <c r="CS132" s="70">
        <f t="shared" ref="CS132:CS162" si="44">IF($CF132=0,0,$CP132*$CD132+$CQ132*$CD132+$CR132*$CD132)</f>
        <v>0</v>
      </c>
    </row>
    <row r="133" spans="79:97">
      <c r="CB133" s="63">
        <v>2</v>
      </c>
      <c r="CC133" s="63">
        <f>data!$I23</f>
        <v>21</v>
      </c>
      <c r="CD133" s="63">
        <f>data!$J23</f>
        <v>307</v>
      </c>
      <c r="CE133" s="70">
        <f t="shared" si="30"/>
        <v>184.61538461538461</v>
      </c>
      <c r="CF133" s="71">
        <f t="shared" si="31"/>
        <v>0.74625170751608039</v>
      </c>
      <c r="CG133" s="71">
        <f t="shared" si="32"/>
        <v>6.019150931881604E-2</v>
      </c>
      <c r="CH133" s="71">
        <f t="shared" si="33"/>
        <v>1</v>
      </c>
      <c r="CI133" s="72">
        <f t="shared" si="34"/>
        <v>6488.166666666667</v>
      </c>
      <c r="CJ133" s="72">
        <f t="shared" si="35"/>
        <v>3067.1333333333328</v>
      </c>
      <c r="CK133" s="70">
        <f t="shared" si="36"/>
        <v>56676.923076923078</v>
      </c>
      <c r="CL133" s="72">
        <f t="shared" si="37"/>
        <v>1214.9866666666667</v>
      </c>
      <c r="CM133" s="72">
        <f t="shared" si="38"/>
        <v>479.59999999999997</v>
      </c>
      <c r="CN133" s="71">
        <f t="shared" si="39"/>
        <v>5.340113471752777</v>
      </c>
      <c r="CO133" s="71">
        <f t="shared" si="40"/>
        <v>6.3951904364748398</v>
      </c>
      <c r="CP133" s="72">
        <f t="shared" si="41"/>
        <v>38.683794728445726</v>
      </c>
      <c r="CQ133" s="72">
        <f t="shared" si="42"/>
        <v>0</v>
      </c>
      <c r="CR133" s="72">
        <f t="shared" si="43"/>
        <v>0</v>
      </c>
      <c r="CS133" s="70">
        <f t="shared" si="44"/>
        <v>11875.924981632837</v>
      </c>
    </row>
    <row r="134" spans="79:97">
      <c r="CB134" s="63">
        <v>3</v>
      </c>
      <c r="CC134" s="63">
        <f>data!$I24</f>
        <v>22</v>
      </c>
      <c r="CD134" s="63">
        <f>data!$J24</f>
        <v>311</v>
      </c>
      <c r="CE134" s="70">
        <f t="shared" si="30"/>
        <v>369.23076923076923</v>
      </c>
      <c r="CF134" s="71">
        <f t="shared" si="31"/>
        <v>0.762860901528015</v>
      </c>
      <c r="CG134" s="71">
        <f t="shared" si="32"/>
        <v>0.12170704269635192</v>
      </c>
      <c r="CH134" s="71">
        <f t="shared" si="33"/>
        <v>1</v>
      </c>
      <c r="CI134" s="72">
        <f t="shared" si="34"/>
        <v>6417.583333333333</v>
      </c>
      <c r="CJ134" s="72">
        <f t="shared" si="35"/>
        <v>3033.7666666666664</v>
      </c>
      <c r="CK134" s="70">
        <f t="shared" si="36"/>
        <v>114830.76923076923</v>
      </c>
      <c r="CL134" s="72">
        <f t="shared" si="37"/>
        <v>1236.7733333333333</v>
      </c>
      <c r="CM134" s="72">
        <f t="shared" si="38"/>
        <v>488.19999999999993</v>
      </c>
      <c r="CN134" s="71">
        <f t="shared" si="39"/>
        <v>5.1889729187778952</v>
      </c>
      <c r="CO134" s="71">
        <f t="shared" si="40"/>
        <v>6.2141881742455283</v>
      </c>
      <c r="CP134" s="72">
        <f t="shared" si="41"/>
        <v>77.887565249897634</v>
      </c>
      <c r="CQ134" s="72">
        <f t="shared" si="42"/>
        <v>0</v>
      </c>
      <c r="CR134" s="72">
        <f t="shared" si="43"/>
        <v>0</v>
      </c>
      <c r="CS134" s="70">
        <f t="shared" si="44"/>
        <v>24223.032792718164</v>
      </c>
    </row>
    <row r="135" spans="79:97">
      <c r="CB135" s="63">
        <v>4</v>
      </c>
      <c r="CC135" s="63">
        <f>data!$I25</f>
        <v>23</v>
      </c>
      <c r="CD135" s="63">
        <f>data!$J25</f>
        <v>317</v>
      </c>
      <c r="CE135" s="70">
        <f t="shared" si="30"/>
        <v>553.84615384615381</v>
      </c>
      <c r="CF135" s="71">
        <f t="shared" si="31"/>
        <v>0.77983950857834339</v>
      </c>
      <c r="CG135" s="71">
        <f t="shared" si="32"/>
        <v>0.18459077251238298</v>
      </c>
      <c r="CH135" s="71">
        <f t="shared" si="33"/>
        <v>1</v>
      </c>
      <c r="CI135" s="72">
        <f t="shared" si="34"/>
        <v>6347</v>
      </c>
      <c r="CJ135" s="72">
        <f t="shared" si="35"/>
        <v>3000.3999999999996</v>
      </c>
      <c r="CK135" s="70">
        <f t="shared" si="36"/>
        <v>175569.23076923075</v>
      </c>
      <c r="CL135" s="72">
        <f t="shared" si="37"/>
        <v>1258.56</v>
      </c>
      <c r="CM135" s="72">
        <f t="shared" si="38"/>
        <v>496.79999999999995</v>
      </c>
      <c r="CN135" s="71">
        <f t="shared" si="39"/>
        <v>5.0430650902618872</v>
      </c>
      <c r="CO135" s="71">
        <f t="shared" si="40"/>
        <v>6.0394524959742348</v>
      </c>
      <c r="CP135" s="72">
        <f t="shared" si="41"/>
        <v>117.59431879942912</v>
      </c>
      <c r="CQ135" s="72">
        <f t="shared" si="42"/>
        <v>0</v>
      </c>
      <c r="CR135" s="72">
        <f t="shared" si="43"/>
        <v>0</v>
      </c>
      <c r="CS135" s="70">
        <f t="shared" si="44"/>
        <v>37277.399059419033</v>
      </c>
    </row>
    <row r="136" spans="79:97">
      <c r="CB136" s="63">
        <v>5</v>
      </c>
      <c r="CC136" s="63">
        <f>data!$I26</f>
        <v>24</v>
      </c>
      <c r="CD136" s="63">
        <f>data!$J26</f>
        <v>325</v>
      </c>
      <c r="CE136" s="70">
        <f t="shared" si="30"/>
        <v>738.46153846153845</v>
      </c>
      <c r="CF136" s="71">
        <f t="shared" si="31"/>
        <v>0.7971999917037047</v>
      </c>
      <c r="CG136" s="71">
        <f t="shared" si="32"/>
        <v>0.2488888581618694</v>
      </c>
      <c r="CH136" s="71">
        <f t="shared" si="33"/>
        <v>1</v>
      </c>
      <c r="CI136" s="72">
        <f t="shared" si="34"/>
        <v>6276.416666666667</v>
      </c>
      <c r="CJ136" s="72">
        <f t="shared" si="35"/>
        <v>2967.0333333333328</v>
      </c>
      <c r="CK136" s="70">
        <f t="shared" si="36"/>
        <v>240000</v>
      </c>
      <c r="CL136" s="72">
        <f t="shared" si="37"/>
        <v>1280.3466666666666</v>
      </c>
      <c r="CM136" s="72">
        <f t="shared" si="38"/>
        <v>505.4</v>
      </c>
      <c r="CN136" s="71">
        <f t="shared" si="39"/>
        <v>4.9021228625580582</v>
      </c>
      <c r="CO136" s="71">
        <f t="shared" si="40"/>
        <v>5.8706635008574057</v>
      </c>
      <c r="CP136" s="72">
        <f t="shared" si="41"/>
        <v>157.78779506279847</v>
      </c>
      <c r="CQ136" s="72">
        <f t="shared" si="42"/>
        <v>0</v>
      </c>
      <c r="CR136" s="72">
        <f t="shared" si="43"/>
        <v>0</v>
      </c>
      <c r="CS136" s="70">
        <f t="shared" si="44"/>
        <v>51281.033395409504</v>
      </c>
    </row>
    <row r="137" spans="79:97">
      <c r="CB137" s="63">
        <v>6</v>
      </c>
      <c r="CC137" s="63">
        <f>data!$I27</f>
        <v>25</v>
      </c>
      <c r="CD137" s="63">
        <f>data!$J27</f>
        <v>334</v>
      </c>
      <c r="CE137" s="70">
        <f t="shared" si="30"/>
        <v>923.07692307692309</v>
      </c>
      <c r="CF137" s="71">
        <f t="shared" si="31"/>
        <v>0.81495538094447306</v>
      </c>
      <c r="CG137" s="71">
        <f t="shared" si="32"/>
        <v>0.31464955905360409</v>
      </c>
      <c r="CH137" s="71">
        <f t="shared" si="33"/>
        <v>1</v>
      </c>
      <c r="CI137" s="72">
        <f t="shared" si="34"/>
        <v>6205.833333333333</v>
      </c>
      <c r="CJ137" s="72">
        <f t="shared" si="35"/>
        <v>2933.6666666666665</v>
      </c>
      <c r="CK137" s="70">
        <f t="shared" si="36"/>
        <v>308307.69230769231</v>
      </c>
      <c r="CL137" s="72">
        <f t="shared" si="37"/>
        <v>1302.1333333333332</v>
      </c>
      <c r="CM137" s="72">
        <f t="shared" si="38"/>
        <v>514</v>
      </c>
      <c r="CN137" s="71">
        <f t="shared" si="39"/>
        <v>4.7658969895556016</v>
      </c>
      <c r="CO137" s="71">
        <f t="shared" si="40"/>
        <v>5.7075226977950706</v>
      </c>
      <c r="CP137" s="72">
        <f t="shared" si="41"/>
        <v>198.45242713302846</v>
      </c>
      <c r="CQ137" s="72">
        <f t="shared" si="42"/>
        <v>0</v>
      </c>
      <c r="CR137" s="72">
        <f t="shared" si="43"/>
        <v>0</v>
      </c>
      <c r="CS137" s="70">
        <f t="shared" si="44"/>
        <v>66283.110662431514</v>
      </c>
    </row>
    <row r="138" spans="79:97">
      <c r="CB138" s="63">
        <v>7</v>
      </c>
      <c r="CC138" s="63">
        <f>data!$I28</f>
        <v>26</v>
      </c>
      <c r="CD138" s="63">
        <f>data!$J28</f>
        <v>342</v>
      </c>
      <c r="CE138" s="70">
        <f t="shared" si="30"/>
        <v>1107.6923076923076</v>
      </c>
      <c r="CF138" s="71">
        <f t="shared" si="31"/>
        <v>0.83311930596039141</v>
      </c>
      <c r="CG138" s="71">
        <f t="shared" si="32"/>
        <v>0.38192335540885691</v>
      </c>
      <c r="CH138" s="71">
        <f t="shared" si="33"/>
        <v>1</v>
      </c>
      <c r="CI138" s="72">
        <f t="shared" si="34"/>
        <v>6135.25</v>
      </c>
      <c r="CJ138" s="72">
        <f t="shared" si="35"/>
        <v>2900.2999999999997</v>
      </c>
      <c r="CK138" s="70">
        <f t="shared" si="36"/>
        <v>378830.76923076919</v>
      </c>
      <c r="CL138" s="72">
        <f t="shared" si="37"/>
        <v>1323.92</v>
      </c>
      <c r="CM138" s="72">
        <f t="shared" si="38"/>
        <v>522.59999999999991</v>
      </c>
      <c r="CN138" s="71">
        <f t="shared" si="39"/>
        <v>4.6341546316998006</v>
      </c>
      <c r="CO138" s="71">
        <f t="shared" si="40"/>
        <v>5.5497512437810954</v>
      </c>
      <c r="CP138" s="72">
        <f t="shared" si="41"/>
        <v>239.57330493810181</v>
      </c>
      <c r="CQ138" s="72">
        <f t="shared" si="42"/>
        <v>0</v>
      </c>
      <c r="CR138" s="72">
        <f t="shared" si="43"/>
        <v>0</v>
      </c>
      <c r="CS138" s="70">
        <f t="shared" si="44"/>
        <v>81934.070288830815</v>
      </c>
    </row>
    <row r="139" spans="79:97">
      <c r="CB139" s="63">
        <v>8</v>
      </c>
      <c r="CC139" s="63">
        <f>data!$I29</f>
        <v>27</v>
      </c>
      <c r="CD139" s="63">
        <f>data!$J29</f>
        <v>349</v>
      </c>
      <c r="CE139" s="70">
        <f t="shared" si="30"/>
        <v>1292.3076923076924</v>
      </c>
      <c r="CF139" s="71">
        <f t="shared" si="31"/>
        <v>0.85170603092377806</v>
      </c>
      <c r="CG139" s="71">
        <f t="shared" si="32"/>
        <v>0.45076307749547456</v>
      </c>
      <c r="CH139" s="71">
        <f t="shared" si="33"/>
        <v>1</v>
      </c>
      <c r="CI139" s="72">
        <f t="shared" si="34"/>
        <v>6064.666666666667</v>
      </c>
      <c r="CJ139" s="72">
        <f t="shared" si="35"/>
        <v>2866.9333333333329</v>
      </c>
      <c r="CK139" s="70">
        <f t="shared" si="36"/>
        <v>451015.38461538462</v>
      </c>
      <c r="CL139" s="72">
        <f t="shared" si="37"/>
        <v>1345.7066666666667</v>
      </c>
      <c r="CM139" s="72">
        <f t="shared" si="38"/>
        <v>531.19999999999993</v>
      </c>
      <c r="CN139" s="71">
        <f t="shared" si="39"/>
        <v>4.5066780279010779</v>
      </c>
      <c r="CO139" s="71">
        <f t="shared" si="40"/>
        <v>5.3970883534136549</v>
      </c>
      <c r="CP139" s="72">
        <f t="shared" si="41"/>
        <v>281.13614095920946</v>
      </c>
      <c r="CQ139" s="72">
        <f t="shared" si="42"/>
        <v>0</v>
      </c>
      <c r="CR139" s="72">
        <f t="shared" si="43"/>
        <v>0</v>
      </c>
      <c r="CS139" s="70">
        <f t="shared" si="44"/>
        <v>98116.513194764106</v>
      </c>
    </row>
    <row r="140" spans="79:97">
      <c r="CB140" s="63">
        <v>9</v>
      </c>
      <c r="CC140" s="63">
        <f>data!$I30</f>
        <v>28</v>
      </c>
      <c r="CD140" s="63">
        <f>data!$J30</f>
        <v>354</v>
      </c>
      <c r="CE140" s="70">
        <f t="shared" si="30"/>
        <v>1476.9230769230769</v>
      </c>
      <c r="CF140" s="71">
        <f t="shared" si="31"/>
        <v>0.87073049187804441</v>
      </c>
      <c r="CG140" s="71">
        <f t="shared" si="32"/>
        <v>0.52122404399275712</v>
      </c>
      <c r="CH140" s="71">
        <f t="shared" si="33"/>
        <v>1</v>
      </c>
      <c r="CI140" s="72">
        <f t="shared" si="34"/>
        <v>5994.083333333333</v>
      </c>
      <c r="CJ140" s="72">
        <f t="shared" si="35"/>
        <v>2833.5666666666666</v>
      </c>
      <c r="CK140" s="70">
        <f t="shared" si="36"/>
        <v>522830.76923076925</v>
      </c>
      <c r="CL140" s="72">
        <f t="shared" si="37"/>
        <v>1367.4933333333333</v>
      </c>
      <c r="CM140" s="72">
        <f t="shared" si="38"/>
        <v>539.79999999999995</v>
      </c>
      <c r="CN140" s="71">
        <f t="shared" si="39"/>
        <v>4.3832632943975351</v>
      </c>
      <c r="CO140" s="71">
        <f t="shared" si="40"/>
        <v>5.249289860442139</v>
      </c>
      <c r="CP140" s="72">
        <f t="shared" si="41"/>
        <v>323.1272380739108</v>
      </c>
      <c r="CQ140" s="72">
        <f t="shared" si="42"/>
        <v>0</v>
      </c>
      <c r="CR140" s="72">
        <f t="shared" si="43"/>
        <v>0</v>
      </c>
      <c r="CS140" s="70">
        <f t="shared" si="44"/>
        <v>114387.04227816443</v>
      </c>
    </row>
    <row r="141" spans="79:97">
      <c r="CB141" s="63">
        <v>10</v>
      </c>
      <c r="CC141" s="63">
        <f>data!$I31</f>
        <v>29</v>
      </c>
      <c r="CD141" s="63">
        <f>data!$J31</f>
        <v>356</v>
      </c>
      <c r="CE141" s="70">
        <f t="shared" si="30"/>
        <v>1661.5384615384614</v>
      </c>
      <c r="CF141" s="71">
        <f t="shared" si="31"/>
        <v>0.89020833676715405</v>
      </c>
      <c r="CG141" s="71">
        <f t="shared" si="32"/>
        <v>0.59336421024871855</v>
      </c>
      <c r="CH141" s="71">
        <f t="shared" si="33"/>
        <v>1</v>
      </c>
      <c r="CI141" s="72">
        <f t="shared" si="34"/>
        <v>5923.5</v>
      </c>
      <c r="CJ141" s="72">
        <f t="shared" si="35"/>
        <v>2800.2</v>
      </c>
      <c r="CK141" s="70">
        <f t="shared" si="36"/>
        <v>591507.69230769225</v>
      </c>
      <c r="CL141" s="72">
        <f t="shared" si="37"/>
        <v>1389.28</v>
      </c>
      <c r="CM141" s="72">
        <f t="shared" si="38"/>
        <v>548.4</v>
      </c>
      <c r="CN141" s="71">
        <f t="shared" si="39"/>
        <v>4.2637193366348036</v>
      </c>
      <c r="CO141" s="71">
        <f t="shared" si="40"/>
        <v>5.1061269146608312</v>
      </c>
      <c r="CP141" s="72">
        <f t="shared" si="41"/>
        <v>365.53345937211805</v>
      </c>
      <c r="CQ141" s="72">
        <f t="shared" si="42"/>
        <v>0</v>
      </c>
      <c r="CR141" s="72">
        <f t="shared" si="43"/>
        <v>0</v>
      </c>
      <c r="CS141" s="70">
        <f t="shared" si="44"/>
        <v>130129.91153647403</v>
      </c>
    </row>
    <row r="142" spans="79:97">
      <c r="CB142" s="63">
        <v>11</v>
      </c>
      <c r="CC142" s="63">
        <f>data!$I32</f>
        <v>30</v>
      </c>
      <c r="CD142" s="63">
        <f>data!$J32</f>
        <v>355</v>
      </c>
      <c r="CE142" s="70">
        <f t="shared" si="30"/>
        <v>1846.1538461538462</v>
      </c>
      <c r="CF142" s="71">
        <f t="shared" si="31"/>
        <v>0.91015596836149815</v>
      </c>
      <c r="CG142" s="71">
        <f t="shared" si="32"/>
        <v>0.66724432726480809</v>
      </c>
      <c r="CH142" s="71">
        <f t="shared" si="33"/>
        <v>1</v>
      </c>
      <c r="CI142" s="72">
        <f t="shared" si="34"/>
        <v>5852.916666666667</v>
      </c>
      <c r="CJ142" s="72">
        <f t="shared" si="35"/>
        <v>2766.833333333333</v>
      </c>
      <c r="CK142" s="70">
        <f t="shared" si="36"/>
        <v>655384.61538461538</v>
      </c>
      <c r="CL142" s="72">
        <f t="shared" si="37"/>
        <v>1411.0666666666666</v>
      </c>
      <c r="CM142" s="72">
        <f t="shared" si="38"/>
        <v>557</v>
      </c>
      <c r="CN142" s="71">
        <f t="shared" si="39"/>
        <v>4.1478668619484083</v>
      </c>
      <c r="CO142" s="71">
        <f t="shared" si="40"/>
        <v>4.9673847995212439</v>
      </c>
      <c r="CP142" s="72">
        <f t="shared" si="41"/>
        <v>408.34219980512518</v>
      </c>
      <c r="CQ142" s="72">
        <f t="shared" si="42"/>
        <v>0</v>
      </c>
      <c r="CR142" s="72">
        <f t="shared" si="43"/>
        <v>0</v>
      </c>
      <c r="CS142" s="70">
        <f t="shared" si="44"/>
        <v>144961.48093081944</v>
      </c>
    </row>
    <row r="143" spans="79:97">
      <c r="CB143" s="63">
        <v>12</v>
      </c>
      <c r="CC143" s="63">
        <f>data!$I33</f>
        <v>31</v>
      </c>
      <c r="CD143" s="63">
        <f>data!$J33</f>
        <v>351</v>
      </c>
      <c r="CE143" s="70">
        <f t="shared" si="30"/>
        <v>2030.7692307692307</v>
      </c>
      <c r="CF143" s="71">
        <f t="shared" si="31"/>
        <v>0.93059059032767633</v>
      </c>
      <c r="CG143" s="71">
        <f t="shared" si="32"/>
        <v>0.74292811232472711</v>
      </c>
      <c r="CH143" s="71">
        <f t="shared" si="33"/>
        <v>1</v>
      </c>
      <c r="CI143" s="72">
        <f t="shared" si="34"/>
        <v>5782.333333333333</v>
      </c>
      <c r="CJ143" s="72">
        <f t="shared" si="35"/>
        <v>2733.4666666666667</v>
      </c>
      <c r="CK143" s="70">
        <f t="shared" si="36"/>
        <v>712800</v>
      </c>
      <c r="CL143" s="72">
        <f t="shared" si="37"/>
        <v>1432.8533333333332</v>
      </c>
      <c r="CM143" s="72">
        <f t="shared" si="38"/>
        <v>565.6</v>
      </c>
      <c r="CN143" s="71">
        <f t="shared" si="39"/>
        <v>4.0355374823196604</v>
      </c>
      <c r="CO143" s="71">
        <f t="shared" si="40"/>
        <v>4.8328618576143327</v>
      </c>
      <c r="CP143" s="72">
        <f t="shared" si="41"/>
        <v>451.54135953911407</v>
      </c>
      <c r="CQ143" s="72">
        <f t="shared" si="42"/>
        <v>0</v>
      </c>
      <c r="CR143" s="72">
        <f t="shared" si="43"/>
        <v>0</v>
      </c>
      <c r="CS143" s="70">
        <f t="shared" si="44"/>
        <v>158491.01719822903</v>
      </c>
    </row>
    <row r="144" spans="79:97">
      <c r="CB144" s="63">
        <v>13</v>
      </c>
      <c r="CC144" s="63">
        <f>data!$I34</f>
        <v>32</v>
      </c>
      <c r="CD144" s="63">
        <f>data!$J34</f>
        <v>344</v>
      </c>
      <c r="CE144" s="70">
        <f t="shared" si="30"/>
        <v>2215.3846153846152</v>
      </c>
      <c r="CF144" s="71">
        <f t="shared" si="31"/>
        <v>0.95153025671413882</v>
      </c>
      <c r="CG144" s="71">
        <f t="shared" si="32"/>
        <v>0.82048243227458806</v>
      </c>
      <c r="CH144" s="71">
        <f t="shared" si="33"/>
        <v>1</v>
      </c>
      <c r="CI144" s="72">
        <f t="shared" si="34"/>
        <v>5711.75</v>
      </c>
      <c r="CJ144" s="72">
        <f t="shared" si="35"/>
        <v>2700.1</v>
      </c>
      <c r="CK144" s="70">
        <f t="shared" si="36"/>
        <v>762092.30769230763</v>
      </c>
      <c r="CL144" s="72">
        <f t="shared" si="37"/>
        <v>1454.6399999999999</v>
      </c>
      <c r="CM144" s="72">
        <f t="shared" si="38"/>
        <v>574.20000000000005</v>
      </c>
      <c r="CN144" s="71">
        <f t="shared" si="39"/>
        <v>3.9265728977616456</v>
      </c>
      <c r="CO144" s="71">
        <f t="shared" si="40"/>
        <v>4.7023685127133401</v>
      </c>
      <c r="CP144" s="72">
        <f t="shared" si="41"/>
        <v>495.11931889476836</v>
      </c>
      <c r="CQ144" s="72">
        <f t="shared" si="42"/>
        <v>0</v>
      </c>
      <c r="CR144" s="72">
        <f t="shared" si="43"/>
        <v>0</v>
      </c>
      <c r="CS144" s="70">
        <f t="shared" si="44"/>
        <v>170321.04569980031</v>
      </c>
    </row>
    <row r="145" spans="80:97">
      <c r="CB145" s="63">
        <v>14</v>
      </c>
      <c r="CC145" s="63">
        <f>data!$I35</f>
        <v>33</v>
      </c>
      <c r="CD145" s="63">
        <f>data!$J35</f>
        <v>332</v>
      </c>
      <c r="CE145" s="70">
        <f t="shared" si="30"/>
        <v>2400</v>
      </c>
      <c r="CF145" s="71">
        <f t="shared" si="31"/>
        <v>0.97299392515187122</v>
      </c>
      <c r="CG145" s="71">
        <f t="shared" si="32"/>
        <v>0.89997750056248604</v>
      </c>
      <c r="CH145" s="71">
        <f t="shared" si="33"/>
        <v>1</v>
      </c>
      <c r="CI145" s="72">
        <f t="shared" si="34"/>
        <v>5641.166666666667</v>
      </c>
      <c r="CJ145" s="72">
        <f t="shared" si="35"/>
        <v>2666.7333333333331</v>
      </c>
      <c r="CK145" s="70">
        <f t="shared" si="36"/>
        <v>796800</v>
      </c>
      <c r="CL145" s="72">
        <f t="shared" si="37"/>
        <v>1476.4266666666667</v>
      </c>
      <c r="CM145" s="72">
        <f t="shared" si="38"/>
        <v>582.79999999999995</v>
      </c>
      <c r="CN145" s="71">
        <f t="shared" si="39"/>
        <v>3.8208241520066468</v>
      </c>
      <c r="CO145" s="71">
        <f t="shared" si="40"/>
        <v>4.575726378403111</v>
      </c>
      <c r="CP145" s="72">
        <f t="shared" si="41"/>
        <v>539.06491476393171</v>
      </c>
      <c r="CQ145" s="72">
        <f t="shared" si="42"/>
        <v>0</v>
      </c>
      <c r="CR145" s="72">
        <f t="shared" si="43"/>
        <v>0</v>
      </c>
      <c r="CS145" s="70">
        <f t="shared" si="44"/>
        <v>178969.55170162531</v>
      </c>
    </row>
    <row r="146" spans="80:97">
      <c r="CB146" s="63">
        <v>15</v>
      </c>
      <c r="CC146" s="63">
        <f>data!$I36</f>
        <v>34</v>
      </c>
      <c r="CD146" s="63">
        <f>data!$J36</f>
        <v>317</v>
      </c>
      <c r="CE146" s="70">
        <f t="shared" si="30"/>
        <v>2584.6153846153848</v>
      </c>
      <c r="CF146" s="71">
        <f t="shared" si="31"/>
        <v>0.99500151409962678</v>
      </c>
      <c r="CG146" s="71">
        <f t="shared" si="32"/>
        <v>0.98148708925787698</v>
      </c>
      <c r="CH146" s="71">
        <f t="shared" si="33"/>
        <v>1</v>
      </c>
      <c r="CI146" s="72">
        <f t="shared" si="34"/>
        <v>5570.583333333333</v>
      </c>
      <c r="CJ146" s="72">
        <f t="shared" si="35"/>
        <v>2633.3666666666668</v>
      </c>
      <c r="CK146" s="70">
        <f t="shared" si="36"/>
        <v>819323.07692307699</v>
      </c>
      <c r="CL146" s="72">
        <f t="shared" si="37"/>
        <v>1498.2133333333334</v>
      </c>
      <c r="CM146" s="72">
        <f t="shared" si="38"/>
        <v>591.4</v>
      </c>
      <c r="CN146" s="71">
        <f t="shared" si="39"/>
        <v>3.7181509531352899</v>
      </c>
      <c r="CO146" s="71">
        <f t="shared" si="40"/>
        <v>4.4527674444820207</v>
      </c>
      <c r="CP146" s="72">
        <f t="shared" si="41"/>
        <v>583.36741840273157</v>
      </c>
      <c r="CQ146" s="72">
        <f t="shared" si="42"/>
        <v>0</v>
      </c>
      <c r="CR146" s="72">
        <f t="shared" si="43"/>
        <v>0</v>
      </c>
      <c r="CS146" s="70">
        <f t="shared" si="44"/>
        <v>184927.4716336659</v>
      </c>
    </row>
    <row r="147" spans="80:97">
      <c r="CB147" s="63">
        <v>16</v>
      </c>
      <c r="CC147" s="63">
        <f>data!$I37</f>
        <v>35</v>
      </c>
      <c r="CD147" s="63">
        <f>data!$J37</f>
        <v>299</v>
      </c>
      <c r="CE147" s="70">
        <f t="shared" si="30"/>
        <v>2769.2307692307691</v>
      </c>
      <c r="CF147" s="71">
        <f t="shared" si="31"/>
        <v>1</v>
      </c>
      <c r="CG147" s="71">
        <f t="shared" si="32"/>
        <v>1</v>
      </c>
      <c r="CH147" s="71">
        <f t="shared" si="33"/>
        <v>0.94164456233421756</v>
      </c>
      <c r="CI147" s="72">
        <f t="shared" si="34"/>
        <v>5500</v>
      </c>
      <c r="CJ147" s="72">
        <f t="shared" si="35"/>
        <v>2600</v>
      </c>
      <c r="CK147" s="70">
        <f t="shared" si="36"/>
        <v>828000</v>
      </c>
      <c r="CL147" s="72">
        <f t="shared" si="37"/>
        <v>1520</v>
      </c>
      <c r="CM147" s="72">
        <f t="shared" si="38"/>
        <v>600</v>
      </c>
      <c r="CN147" s="71">
        <f t="shared" si="39"/>
        <v>3.6184210526315788</v>
      </c>
      <c r="CO147" s="71">
        <f t="shared" si="40"/>
        <v>4.333333333333333</v>
      </c>
      <c r="CP147" s="72">
        <f t="shared" si="41"/>
        <v>0</v>
      </c>
      <c r="CQ147" s="72">
        <f t="shared" si="42"/>
        <v>653.68700265251982</v>
      </c>
      <c r="CR147" s="72">
        <f t="shared" si="43"/>
        <v>0</v>
      </c>
      <c r="CS147" s="70">
        <f t="shared" si="44"/>
        <v>195452.41379310342</v>
      </c>
    </row>
    <row r="148" spans="80:97">
      <c r="CB148" s="63">
        <v>17</v>
      </c>
      <c r="CC148" s="63">
        <f>data!$I38</f>
        <v>36</v>
      </c>
      <c r="CD148" s="63">
        <f>data!$J38</f>
        <v>277</v>
      </c>
      <c r="CE148" s="70">
        <f t="shared" si="30"/>
        <v>2953.8461538461538</v>
      </c>
      <c r="CF148" s="71">
        <f t="shared" si="31"/>
        <v>1</v>
      </c>
      <c r="CG148" s="71">
        <f t="shared" si="32"/>
        <v>1</v>
      </c>
      <c r="CH148" s="71">
        <f t="shared" si="33"/>
        <v>0.86508183674175576</v>
      </c>
      <c r="CI148" s="72">
        <f t="shared" si="34"/>
        <v>5436.363636363636</v>
      </c>
      <c r="CJ148" s="72">
        <f t="shared" si="35"/>
        <v>2566.6727272727271</v>
      </c>
      <c r="CK148" s="70">
        <f t="shared" si="36"/>
        <v>818215.38461538462</v>
      </c>
      <c r="CL148" s="72">
        <f t="shared" si="37"/>
        <v>1550</v>
      </c>
      <c r="CM148" s="72">
        <f t="shared" si="38"/>
        <v>613.63636363636363</v>
      </c>
      <c r="CN148" s="71">
        <f t="shared" si="39"/>
        <v>3.5073313782991202</v>
      </c>
      <c r="CO148" s="71">
        <f t="shared" si="40"/>
        <v>4.1827259259259257</v>
      </c>
      <c r="CP148" s="72">
        <f t="shared" si="41"/>
        <v>0</v>
      </c>
      <c r="CQ148" s="72">
        <f t="shared" si="42"/>
        <v>739.96882559635594</v>
      </c>
      <c r="CR148" s="72">
        <f t="shared" si="43"/>
        <v>0</v>
      </c>
      <c r="CS148" s="70">
        <f t="shared" si="44"/>
        <v>204971.36469019059</v>
      </c>
    </row>
    <row r="149" spans="80:97">
      <c r="CB149" s="63">
        <v>18</v>
      </c>
      <c r="CC149" s="63">
        <f>data!$I39</f>
        <v>37</v>
      </c>
      <c r="CD149" s="63">
        <f>data!$J39</f>
        <v>252</v>
      </c>
      <c r="CE149" s="70">
        <f t="shared" si="30"/>
        <v>3138.4615384615386</v>
      </c>
      <c r="CF149" s="71">
        <f t="shared" si="31"/>
        <v>1</v>
      </c>
      <c r="CG149" s="71">
        <f t="shared" si="32"/>
        <v>1</v>
      </c>
      <c r="CH149" s="71">
        <f t="shared" si="33"/>
        <v>0.78688456760508296</v>
      </c>
      <c r="CI149" s="72">
        <f t="shared" si="34"/>
        <v>5372.727272727273</v>
      </c>
      <c r="CJ149" s="72">
        <f t="shared" si="35"/>
        <v>2533.3454545454547</v>
      </c>
      <c r="CK149" s="70">
        <f t="shared" si="36"/>
        <v>790892.30769230775</v>
      </c>
      <c r="CL149" s="72">
        <f t="shared" si="37"/>
        <v>1580</v>
      </c>
      <c r="CM149" s="72">
        <f t="shared" si="38"/>
        <v>627.27272727272725</v>
      </c>
      <c r="CN149" s="71">
        <f t="shared" si="39"/>
        <v>3.4004602991944766</v>
      </c>
      <c r="CO149" s="71">
        <f t="shared" si="40"/>
        <v>4.0386666666666668</v>
      </c>
      <c r="CP149" s="72">
        <f t="shared" si="41"/>
        <v>0</v>
      </c>
      <c r="CQ149" s="72">
        <f t="shared" si="42"/>
        <v>830.31361195443003</v>
      </c>
      <c r="CR149" s="72">
        <f t="shared" si="43"/>
        <v>0</v>
      </c>
      <c r="CS149" s="70">
        <f t="shared" si="44"/>
        <v>209239.03021251637</v>
      </c>
    </row>
    <row r="150" spans="80:97">
      <c r="CB150" s="63">
        <v>19</v>
      </c>
      <c r="CC150" s="63">
        <f>data!$I40</f>
        <v>38</v>
      </c>
      <c r="CD150" s="63">
        <f>data!$J40</f>
        <v>225</v>
      </c>
      <c r="CE150" s="70">
        <f t="shared" si="30"/>
        <v>3323.0769230769229</v>
      </c>
      <c r="CF150" s="71">
        <f t="shared" si="31"/>
        <v>1</v>
      </c>
      <c r="CG150" s="71">
        <f t="shared" si="32"/>
        <v>1</v>
      </c>
      <c r="CH150" s="71">
        <f t="shared" si="33"/>
        <v>0.70699984615285039</v>
      </c>
      <c r="CI150" s="72">
        <f t="shared" si="34"/>
        <v>5309.090909090909</v>
      </c>
      <c r="CJ150" s="72">
        <f t="shared" si="35"/>
        <v>2500.0181818181818</v>
      </c>
      <c r="CK150" s="70">
        <f t="shared" si="36"/>
        <v>747692.30769230763</v>
      </c>
      <c r="CL150" s="72">
        <f t="shared" si="37"/>
        <v>1610</v>
      </c>
      <c r="CM150" s="72">
        <f t="shared" si="38"/>
        <v>640.90909090909088</v>
      </c>
      <c r="CN150" s="71">
        <f t="shared" si="39"/>
        <v>3.2975719932241669</v>
      </c>
      <c r="CO150" s="71">
        <f t="shared" si="40"/>
        <v>3.9007375886524822</v>
      </c>
      <c r="CP150" s="72">
        <f t="shared" si="41"/>
        <v>0</v>
      </c>
      <c r="CQ150" s="72">
        <f t="shared" si="42"/>
        <v>924.85287636460134</v>
      </c>
      <c r="CR150" s="72">
        <f t="shared" si="43"/>
        <v>0</v>
      </c>
      <c r="CS150" s="70">
        <f t="shared" si="44"/>
        <v>208091.89718203529</v>
      </c>
    </row>
    <row r="151" spans="80:97">
      <c r="CB151" s="63">
        <v>20</v>
      </c>
      <c r="CC151" s="63">
        <f>data!$I41</f>
        <v>39</v>
      </c>
      <c r="CD151" s="63">
        <f>data!$J41</f>
        <v>195</v>
      </c>
      <c r="CE151" s="70">
        <f t="shared" si="30"/>
        <v>3507.6923076923076</v>
      </c>
      <c r="CF151" s="71">
        <f t="shared" si="31"/>
        <v>1</v>
      </c>
      <c r="CG151" s="71">
        <f t="shared" si="32"/>
        <v>1</v>
      </c>
      <c r="CH151" s="71">
        <f t="shared" si="33"/>
        <v>0.62537245522484219</v>
      </c>
      <c r="CI151" s="72">
        <f t="shared" si="34"/>
        <v>5245.454545454545</v>
      </c>
      <c r="CJ151" s="72">
        <f t="shared" si="35"/>
        <v>2466.6909090909094</v>
      </c>
      <c r="CK151" s="70">
        <f t="shared" si="36"/>
        <v>684000</v>
      </c>
      <c r="CL151" s="72">
        <f t="shared" si="37"/>
        <v>1640</v>
      </c>
      <c r="CM151" s="72">
        <f t="shared" si="38"/>
        <v>654.5454545454545</v>
      </c>
      <c r="CN151" s="71">
        <f t="shared" si="39"/>
        <v>3.1984478935698446</v>
      </c>
      <c r="CO151" s="71">
        <f t="shared" si="40"/>
        <v>3.7685555555555563</v>
      </c>
      <c r="CP151" s="72">
        <f t="shared" si="41"/>
        <v>0</v>
      </c>
      <c r="CQ151" s="72">
        <f t="shared" si="42"/>
        <v>1023.72387139661</v>
      </c>
      <c r="CR151" s="72">
        <f t="shared" si="43"/>
        <v>0</v>
      </c>
      <c r="CS151" s="70">
        <f t="shared" si="44"/>
        <v>199626.15492233896</v>
      </c>
    </row>
    <row r="152" spans="80:97">
      <c r="CB152" s="63">
        <v>21</v>
      </c>
      <c r="CC152" s="63">
        <f>data!$I42</f>
        <v>40</v>
      </c>
      <c r="CD152" s="63">
        <f>data!$J42</f>
        <v>165</v>
      </c>
      <c r="CE152" s="70">
        <f t="shared" si="30"/>
        <v>3692.3076923076924</v>
      </c>
      <c r="CF152" s="71">
        <f t="shared" si="31"/>
        <v>1</v>
      </c>
      <c r="CG152" s="71">
        <f t="shared" si="32"/>
        <v>1</v>
      </c>
      <c r="CH152" s="71">
        <f t="shared" si="33"/>
        <v>0.54194474199104903</v>
      </c>
      <c r="CI152" s="72">
        <f t="shared" si="34"/>
        <v>5181.818181818182</v>
      </c>
      <c r="CJ152" s="72">
        <f t="shared" si="35"/>
        <v>2433.3636363636365</v>
      </c>
      <c r="CK152" s="70">
        <f t="shared" si="36"/>
        <v>609230.76923076925</v>
      </c>
      <c r="CL152" s="72">
        <f t="shared" si="37"/>
        <v>1670</v>
      </c>
      <c r="CM152" s="72">
        <f t="shared" si="38"/>
        <v>668.18181818181824</v>
      </c>
      <c r="CN152" s="71">
        <f t="shared" si="39"/>
        <v>3.1028851388132828</v>
      </c>
      <c r="CO152" s="71">
        <f t="shared" si="40"/>
        <v>3.641768707482993</v>
      </c>
      <c r="CP152" s="72">
        <f t="shared" si="41"/>
        <v>0</v>
      </c>
      <c r="CQ152" s="72">
        <f t="shared" si="42"/>
        <v>1127.0699039326037</v>
      </c>
      <c r="CR152" s="72">
        <f t="shared" si="43"/>
        <v>0</v>
      </c>
      <c r="CS152" s="70">
        <f t="shared" si="44"/>
        <v>185966.53414887961</v>
      </c>
    </row>
    <row r="153" spans="80:97">
      <c r="CB153" s="63">
        <v>22</v>
      </c>
      <c r="CC153" s="63">
        <f>data!$I43</f>
        <v>41</v>
      </c>
      <c r="CD153" s="63">
        <f>data!$J43</f>
        <v>133</v>
      </c>
      <c r="CE153" s="70">
        <f t="shared" si="30"/>
        <v>3876.9230769230771</v>
      </c>
      <c r="CF153" s="71">
        <f t="shared" si="31"/>
        <v>1</v>
      </c>
      <c r="CG153" s="71">
        <f t="shared" si="32"/>
        <v>1</v>
      </c>
      <c r="CH153" s="71">
        <f t="shared" si="33"/>
        <v>0.45665648215515092</v>
      </c>
      <c r="CI153" s="72">
        <f t="shared" si="34"/>
        <v>5118.181818181818</v>
      </c>
      <c r="CJ153" s="72">
        <f t="shared" si="35"/>
        <v>2400.0363636363636</v>
      </c>
      <c r="CK153" s="70">
        <f t="shared" si="36"/>
        <v>515630.76923076925</v>
      </c>
      <c r="CL153" s="72">
        <f t="shared" si="37"/>
        <v>1700</v>
      </c>
      <c r="CM153" s="72">
        <f t="shared" si="38"/>
        <v>681.81818181818176</v>
      </c>
      <c r="CN153" s="71">
        <f t="shared" si="39"/>
        <v>3.0106951871657754</v>
      </c>
      <c r="CO153" s="71">
        <f t="shared" si="40"/>
        <v>3.5200533333333337</v>
      </c>
      <c r="CP153" s="72">
        <f t="shared" si="41"/>
        <v>0</v>
      </c>
      <c r="CQ153" s="72">
        <f t="shared" si="42"/>
        <v>1235.0406727147556</v>
      </c>
      <c r="CR153" s="72">
        <f t="shared" si="43"/>
        <v>0</v>
      </c>
      <c r="CS153" s="70">
        <f t="shared" si="44"/>
        <v>164260.40947106251</v>
      </c>
    </row>
    <row r="154" spans="80:97">
      <c r="CB154" s="63">
        <v>23</v>
      </c>
      <c r="CC154" s="63">
        <f>data!$I44</f>
        <v>42</v>
      </c>
      <c r="CD154" s="63">
        <f>data!$J44</f>
        <v>103</v>
      </c>
      <c r="CE154" s="70">
        <f t="shared" si="30"/>
        <v>4061.5384615384614</v>
      </c>
      <c r="CF154" s="71">
        <f t="shared" si="31"/>
        <v>1</v>
      </c>
      <c r="CG154" s="71">
        <f t="shared" si="32"/>
        <v>1</v>
      </c>
      <c r="CH154" s="71">
        <f t="shared" si="33"/>
        <v>0.36944473497023383</v>
      </c>
      <c r="CI154" s="72">
        <f t="shared" si="34"/>
        <v>5054.545454545455</v>
      </c>
      <c r="CJ154" s="72">
        <f t="shared" si="35"/>
        <v>2366.7090909090912</v>
      </c>
      <c r="CK154" s="70">
        <f t="shared" si="36"/>
        <v>418338.4615384615</v>
      </c>
      <c r="CL154" s="72">
        <f t="shared" si="37"/>
        <v>1730</v>
      </c>
      <c r="CM154" s="72">
        <f t="shared" si="38"/>
        <v>695.4545454545455</v>
      </c>
      <c r="CN154" s="71">
        <f t="shared" si="39"/>
        <v>2.921702574881766</v>
      </c>
      <c r="CO154" s="71">
        <f t="shared" si="40"/>
        <v>3.4031111111111114</v>
      </c>
      <c r="CP154" s="72">
        <f t="shared" si="41"/>
        <v>0</v>
      </c>
      <c r="CQ154" s="72">
        <f t="shared" si="42"/>
        <v>1347.7926287307944</v>
      </c>
      <c r="CR154" s="72">
        <f t="shared" si="43"/>
        <v>0</v>
      </c>
      <c r="CS154" s="70">
        <f t="shared" si="44"/>
        <v>138822.64075927183</v>
      </c>
    </row>
    <row r="155" spans="80:97">
      <c r="CB155" s="63">
        <v>24</v>
      </c>
      <c r="CC155" s="63">
        <f>data!$I45</f>
        <v>43</v>
      </c>
      <c r="CD155" s="63">
        <f>data!$J45</f>
        <v>73</v>
      </c>
      <c r="CE155" s="70">
        <f t="shared" si="30"/>
        <v>4246.1538461538457</v>
      </c>
      <c r="CF155" s="71">
        <f t="shared" si="31"/>
        <v>1</v>
      </c>
      <c r="CG155" s="71">
        <f t="shared" si="32"/>
        <v>1</v>
      </c>
      <c r="CH155" s="71">
        <f t="shared" si="33"/>
        <v>0.28024368833323177</v>
      </c>
      <c r="CI155" s="72">
        <f t="shared" si="34"/>
        <v>4990.909090909091</v>
      </c>
      <c r="CJ155" s="72">
        <f t="shared" si="35"/>
        <v>2333.3818181818183</v>
      </c>
      <c r="CK155" s="70">
        <f t="shared" si="36"/>
        <v>309969.23076923075</v>
      </c>
      <c r="CL155" s="72">
        <f t="shared" si="37"/>
        <v>1760</v>
      </c>
      <c r="CM155" s="72">
        <f t="shared" si="38"/>
        <v>709.09090909090912</v>
      </c>
      <c r="CN155" s="71">
        <f t="shared" si="39"/>
        <v>2.8357438016528924</v>
      </c>
      <c r="CO155" s="71">
        <f t="shared" si="40"/>
        <v>3.2906666666666666</v>
      </c>
      <c r="CP155" s="72">
        <f t="shared" si="41"/>
        <v>0</v>
      </c>
      <c r="CQ155" s="72">
        <f t="shared" si="42"/>
        <v>1465.4893602607126</v>
      </c>
      <c r="CR155" s="72">
        <f t="shared" si="43"/>
        <v>0</v>
      </c>
      <c r="CS155" s="70">
        <f t="shared" si="44"/>
        <v>106980.72329903202</v>
      </c>
    </row>
    <row r="156" spans="80:97">
      <c r="CB156" s="63">
        <v>25</v>
      </c>
      <c r="CC156" s="63">
        <f>data!$I46</f>
        <v>44</v>
      </c>
      <c r="CD156" s="63">
        <f>data!$J46</f>
        <v>47</v>
      </c>
      <c r="CE156" s="70">
        <f t="shared" si="30"/>
        <v>4430.7692307692305</v>
      </c>
      <c r="CF156" s="71">
        <f t="shared" si="31"/>
        <v>1</v>
      </c>
      <c r="CG156" s="71">
        <f t="shared" si="32"/>
        <v>1</v>
      </c>
      <c r="CH156" s="71">
        <f t="shared" si="33"/>
        <v>0.18898449315689814</v>
      </c>
      <c r="CI156" s="72">
        <f t="shared" si="34"/>
        <v>4927.272727272727</v>
      </c>
      <c r="CJ156" s="72">
        <f t="shared" si="35"/>
        <v>2300.0545454545454</v>
      </c>
      <c r="CK156" s="70">
        <f t="shared" si="36"/>
        <v>208246.15384615384</v>
      </c>
      <c r="CL156" s="72">
        <f t="shared" si="37"/>
        <v>1790</v>
      </c>
      <c r="CM156" s="72">
        <f t="shared" si="38"/>
        <v>722.72727272727275</v>
      </c>
      <c r="CN156" s="71">
        <f t="shared" si="39"/>
        <v>2.7526663280853225</v>
      </c>
      <c r="CO156" s="71">
        <f t="shared" si="40"/>
        <v>3.1824654088050313</v>
      </c>
      <c r="CP156" s="72">
        <f t="shared" si="41"/>
        <v>0</v>
      </c>
      <c r="CQ156" s="72">
        <f t="shared" si="42"/>
        <v>1588.3020045761832</v>
      </c>
      <c r="CR156" s="72">
        <f t="shared" si="43"/>
        <v>0</v>
      </c>
      <c r="CS156" s="70">
        <f t="shared" si="44"/>
        <v>74650.194215080614</v>
      </c>
    </row>
    <row r="157" spans="80:97">
      <c r="CB157" s="63">
        <v>26</v>
      </c>
      <c r="CC157" s="63">
        <f>data!$I47</f>
        <v>45</v>
      </c>
      <c r="CD157" s="63">
        <f>data!$J47</f>
        <v>24</v>
      </c>
      <c r="CE157" s="70">
        <f t="shared" si="30"/>
        <v>4615.3846153846152</v>
      </c>
      <c r="CF157" s="71">
        <f t="shared" si="31"/>
        <v>1</v>
      </c>
      <c r="CG157" s="71">
        <f t="shared" si="32"/>
        <v>1</v>
      </c>
      <c r="CH157" s="71">
        <f t="shared" si="33"/>
        <v>9.5595086143290486E-2</v>
      </c>
      <c r="CI157" s="72">
        <f t="shared" si="34"/>
        <v>4863.636363636364</v>
      </c>
      <c r="CJ157" s="72">
        <f t="shared" si="35"/>
        <v>2266.727272727273</v>
      </c>
      <c r="CK157" s="70">
        <f t="shared" si="36"/>
        <v>110769.23076923077</v>
      </c>
      <c r="CL157" s="72">
        <f t="shared" si="37"/>
        <v>1820</v>
      </c>
      <c r="CM157" s="72">
        <f t="shared" si="38"/>
        <v>736.36363636363637</v>
      </c>
      <c r="CN157" s="71">
        <f t="shared" si="39"/>
        <v>2.6723276723276723</v>
      </c>
      <c r="CO157" s="71">
        <f t="shared" si="40"/>
        <v>3.0782716049382719</v>
      </c>
      <c r="CP157" s="72">
        <f t="shared" si="41"/>
        <v>0</v>
      </c>
      <c r="CQ157" s="72">
        <f t="shared" si="42"/>
        <v>1716.4096884701796</v>
      </c>
      <c r="CR157" s="72">
        <f t="shared" si="43"/>
        <v>0</v>
      </c>
      <c r="CS157" s="70">
        <f t="shared" si="44"/>
        <v>41193.832523284313</v>
      </c>
    </row>
    <row r="158" spans="80:97">
      <c r="CB158" s="63">
        <v>27</v>
      </c>
      <c r="CC158" s="63">
        <f>data!$I48</f>
        <v>46</v>
      </c>
      <c r="CD158" s="63">
        <f>data!$J48</f>
        <v>6</v>
      </c>
      <c r="CE158" s="70">
        <f t="shared" si="30"/>
        <v>4800</v>
      </c>
      <c r="CF158" s="71">
        <f t="shared" si="31"/>
        <v>1</v>
      </c>
      <c r="CG158" s="71">
        <f t="shared" si="32"/>
        <v>1</v>
      </c>
      <c r="CH158" s="71">
        <f t="shared" si="33"/>
        <v>0</v>
      </c>
      <c r="CI158" s="72">
        <f t="shared" si="34"/>
        <v>4800</v>
      </c>
      <c r="CJ158" s="72">
        <f t="shared" si="35"/>
        <v>2233.4</v>
      </c>
      <c r="CK158" s="70">
        <f t="shared" si="36"/>
        <v>28800</v>
      </c>
      <c r="CL158" s="72">
        <f t="shared" si="37"/>
        <v>1850</v>
      </c>
      <c r="CM158" s="72">
        <f t="shared" si="38"/>
        <v>750</v>
      </c>
      <c r="CN158" s="71">
        <f t="shared" si="39"/>
        <v>2.5945945945945947</v>
      </c>
      <c r="CO158" s="71">
        <f t="shared" si="40"/>
        <v>2.9778666666666669</v>
      </c>
      <c r="CP158" s="72">
        <f t="shared" si="41"/>
        <v>0</v>
      </c>
      <c r="CQ158" s="72">
        <f t="shared" si="42"/>
        <v>1850</v>
      </c>
      <c r="CR158" s="72">
        <f t="shared" si="43"/>
        <v>0</v>
      </c>
      <c r="CS158" s="70">
        <f t="shared" si="44"/>
        <v>11100</v>
      </c>
    </row>
    <row r="159" spans="80:97">
      <c r="CB159" s="63">
        <v>28</v>
      </c>
      <c r="CC159" s="63">
        <f>data!$I49</f>
        <v>47</v>
      </c>
      <c r="CD159" s="63">
        <f>data!$J49</f>
        <v>0</v>
      </c>
      <c r="CE159" s="70">
        <f t="shared" si="30"/>
        <v>4984.6153846153848</v>
      </c>
      <c r="CF159" s="71">
        <f t="shared" si="31"/>
        <v>1</v>
      </c>
      <c r="CG159" s="71">
        <f t="shared" si="32"/>
        <v>1</v>
      </c>
      <c r="CH159" s="71">
        <f t="shared" si="33"/>
        <v>0</v>
      </c>
      <c r="CI159" s="72">
        <f t="shared" si="34"/>
        <v>4736.363636363636</v>
      </c>
      <c r="CJ159" s="72">
        <f t="shared" si="35"/>
        <v>2200.0727272727272</v>
      </c>
      <c r="CK159" s="70">
        <f t="shared" si="36"/>
        <v>0</v>
      </c>
      <c r="CL159" s="72">
        <f t="shared" si="37"/>
        <v>1880</v>
      </c>
      <c r="CM159" s="72">
        <f t="shared" si="38"/>
        <v>763.63636363636363</v>
      </c>
      <c r="CN159" s="71">
        <f t="shared" si="39"/>
        <v>2.5193423597678914</v>
      </c>
      <c r="CO159" s="71">
        <f t="shared" si="40"/>
        <v>2.8810476190476191</v>
      </c>
      <c r="CP159" s="72">
        <f t="shared" si="41"/>
        <v>0</v>
      </c>
      <c r="CQ159" s="72">
        <f t="shared" si="42"/>
        <v>0</v>
      </c>
      <c r="CR159" s="72">
        <f t="shared" si="43"/>
        <v>1880</v>
      </c>
      <c r="CS159" s="70">
        <f t="shared" si="44"/>
        <v>0</v>
      </c>
    </row>
    <row r="160" spans="80:97">
      <c r="CB160" s="63">
        <v>29</v>
      </c>
      <c r="CC160" s="63">
        <f>data!$I50</f>
        <v>48</v>
      </c>
      <c r="CD160" s="63">
        <f>data!$J50</f>
        <v>0</v>
      </c>
      <c r="CE160" s="70">
        <f t="shared" si="30"/>
        <v>5169.2307692307695</v>
      </c>
      <c r="CF160" s="71">
        <f t="shared" si="31"/>
        <v>1</v>
      </c>
      <c r="CG160" s="71">
        <f t="shared" si="32"/>
        <v>1</v>
      </c>
      <c r="CH160" s="71">
        <f t="shared" si="33"/>
        <v>0</v>
      </c>
      <c r="CI160" s="72">
        <f t="shared" si="34"/>
        <v>4672.727272727273</v>
      </c>
      <c r="CJ160" s="72">
        <f t="shared" si="35"/>
        <v>2166.7454545454548</v>
      </c>
      <c r="CK160" s="70">
        <f t="shared" si="36"/>
        <v>0</v>
      </c>
      <c r="CL160" s="72">
        <f t="shared" si="37"/>
        <v>1910</v>
      </c>
      <c r="CM160" s="72">
        <f t="shared" si="38"/>
        <v>777.27272727272725</v>
      </c>
      <c r="CN160" s="71">
        <f t="shared" si="39"/>
        <v>2.4464540694907186</v>
      </c>
      <c r="CO160" s="71">
        <f t="shared" si="40"/>
        <v>2.7876257309941526</v>
      </c>
      <c r="CP160" s="72">
        <f t="shared" si="41"/>
        <v>0</v>
      </c>
      <c r="CQ160" s="72">
        <f t="shared" si="42"/>
        <v>0</v>
      </c>
      <c r="CR160" s="72">
        <f t="shared" si="43"/>
        <v>1910</v>
      </c>
      <c r="CS160" s="70">
        <f t="shared" si="44"/>
        <v>0</v>
      </c>
    </row>
    <row r="161" spans="79:97">
      <c r="CB161" s="63">
        <v>30</v>
      </c>
      <c r="CC161" s="63">
        <f>data!$I51</f>
        <v>49</v>
      </c>
      <c r="CD161" s="63">
        <f>data!$J51</f>
        <v>0</v>
      </c>
      <c r="CE161" s="70">
        <f t="shared" si="30"/>
        <v>5353.8461538461543</v>
      </c>
      <c r="CF161" s="71">
        <f t="shared" si="31"/>
        <v>1</v>
      </c>
      <c r="CG161" s="71">
        <f t="shared" si="32"/>
        <v>1</v>
      </c>
      <c r="CH161" s="71">
        <f t="shared" si="33"/>
        <v>0</v>
      </c>
      <c r="CI161" s="72">
        <f t="shared" si="34"/>
        <v>4609.090909090909</v>
      </c>
      <c r="CJ161" s="72">
        <f t="shared" si="35"/>
        <v>2133.4181818181819</v>
      </c>
      <c r="CK161" s="70">
        <f t="shared" si="36"/>
        <v>0</v>
      </c>
      <c r="CL161" s="72">
        <f t="shared" si="37"/>
        <v>1940</v>
      </c>
      <c r="CM161" s="72">
        <f t="shared" si="38"/>
        <v>790.90909090909088</v>
      </c>
      <c r="CN161" s="71">
        <f t="shared" si="39"/>
        <v>2.3758200562324272</v>
      </c>
      <c r="CO161" s="71">
        <f t="shared" si="40"/>
        <v>2.6974252873563223</v>
      </c>
      <c r="CP161" s="72">
        <f t="shared" si="41"/>
        <v>0</v>
      </c>
      <c r="CQ161" s="72">
        <f t="shared" si="42"/>
        <v>0</v>
      </c>
      <c r="CR161" s="72">
        <f t="shared" si="43"/>
        <v>1940</v>
      </c>
      <c r="CS161" s="70">
        <f t="shared" si="44"/>
        <v>0</v>
      </c>
    </row>
    <row r="162" spans="79:97">
      <c r="CB162" s="63">
        <v>31</v>
      </c>
      <c r="CC162" s="63">
        <f>data!$I52</f>
        <v>50</v>
      </c>
      <c r="CD162" s="63">
        <f>data!$J52</f>
        <v>0</v>
      </c>
      <c r="CE162" s="70">
        <f t="shared" si="30"/>
        <v>5538.4615384615381</v>
      </c>
      <c r="CF162" s="71">
        <f t="shared" si="31"/>
        <v>1</v>
      </c>
      <c r="CG162" s="71">
        <f t="shared" si="32"/>
        <v>1</v>
      </c>
      <c r="CH162" s="71">
        <f t="shared" si="33"/>
        <v>0</v>
      </c>
      <c r="CI162" s="72">
        <f t="shared" si="34"/>
        <v>4545.454545454545</v>
      </c>
      <c r="CJ162" s="72">
        <f t="shared" si="35"/>
        <v>2100.090909090909</v>
      </c>
      <c r="CK162" s="70">
        <f t="shared" si="36"/>
        <v>0</v>
      </c>
      <c r="CL162" s="72">
        <f t="shared" si="37"/>
        <v>1970</v>
      </c>
      <c r="CM162" s="72">
        <f t="shared" si="38"/>
        <v>804.5454545454545</v>
      </c>
      <c r="CN162" s="71">
        <f t="shared" si="39"/>
        <v>2.3073373327180433</v>
      </c>
      <c r="CO162" s="71">
        <f t="shared" si="40"/>
        <v>2.6102824858757061</v>
      </c>
      <c r="CP162" s="72">
        <f t="shared" si="41"/>
        <v>0</v>
      </c>
      <c r="CQ162" s="72">
        <f t="shared" si="42"/>
        <v>0</v>
      </c>
      <c r="CR162" s="72">
        <f t="shared" si="43"/>
        <v>1970</v>
      </c>
      <c r="CS162" s="70">
        <f t="shared" si="44"/>
        <v>0</v>
      </c>
    </row>
    <row r="163" spans="79:97">
      <c r="CB163" s="63"/>
      <c r="CC163" s="63"/>
      <c r="CD163" s="63">
        <f>SUM(CD132:CD162)</f>
        <v>6493</v>
      </c>
      <c r="CE163" s="63"/>
      <c r="CF163" s="63"/>
      <c r="CG163" s="63"/>
      <c r="CH163" s="63"/>
      <c r="CI163" s="63"/>
      <c r="CK163" s="62">
        <f>SUM(CK132:CK162)</f>
        <v>12655753.846153848</v>
      </c>
      <c r="CM163" s="44"/>
      <c r="CN163" s="44"/>
      <c r="CO163" s="44"/>
      <c r="CP163" s="68"/>
      <c r="CQ163" s="68"/>
      <c r="CS163" s="77">
        <f>SUM(CS132:CS162)</f>
        <v>3193533.8005707809</v>
      </c>
    </row>
    <row r="170" spans="79:97">
      <c r="CA170" s="28" t="s">
        <v>75</v>
      </c>
      <c r="CF170" s="29" t="str">
        <f>data!K7</f>
        <v>CUSTOM</v>
      </c>
      <c r="CQ170" s="30"/>
    </row>
    <row r="171" spans="79:97">
      <c r="CA171" s="28"/>
      <c r="CQ171" s="30"/>
    </row>
    <row r="172" spans="79:97">
      <c r="CA172" s="28"/>
      <c r="CB172" s="37" t="s">
        <v>345</v>
      </c>
      <c r="CC172" s="38">
        <f>'Two-stage Capacity unit'!$H$29</f>
        <v>4800</v>
      </c>
      <c r="CD172" s="39"/>
      <c r="CE172" s="40" t="s">
        <v>0</v>
      </c>
      <c r="CF172" s="41">
        <f>$CK$223/$CS$223</f>
        <v>3.9629309211920294</v>
      </c>
      <c r="CO172" s="42"/>
      <c r="CQ172" s="43"/>
    </row>
    <row r="173" spans="79:97">
      <c r="CA173" s="28"/>
      <c r="CQ173" s="43"/>
    </row>
    <row r="174" spans="79:97" ht="15">
      <c r="CA174" s="28"/>
      <c r="CC174" s="44" t="s">
        <v>263</v>
      </c>
      <c r="CD174" s="44" t="s">
        <v>187</v>
      </c>
      <c r="CG174" s="44" t="s">
        <v>19</v>
      </c>
      <c r="CH174" s="61">
        <f>IF('Two-stage Capacity unit'!$BD$28="Required test",data!$K$14,IF('Two-stage Capacity unit'!$BD$43="Default",data!$K$14,$CK$178))</f>
        <v>0.27</v>
      </c>
      <c r="CK174" s="40" t="s">
        <v>77</v>
      </c>
      <c r="CL174" s="40" t="s">
        <v>78</v>
      </c>
    </row>
    <row r="175" spans="79:97">
      <c r="CA175" s="28"/>
      <c r="CB175" s="51" t="s">
        <v>18</v>
      </c>
      <c r="CC175" s="52">
        <f>'Two-stage Capacity unit'!$H$29</f>
        <v>4800</v>
      </c>
      <c r="CD175" s="52">
        <f>IF('Two-stage Capacity unit'!$BD$28="Required test",$CD$180*$CH$177,IF('Two-stage Capacity unit'!$BD$34="Default",$CD$180*$CH$177,'Two-stage Capacity unit'!$H$30))</f>
        <v>2233.4</v>
      </c>
      <c r="CG175" s="40" t="s">
        <v>189</v>
      </c>
      <c r="CH175" s="44">
        <f>data!$K$15</f>
        <v>1.077</v>
      </c>
      <c r="CJ175" s="40" t="s">
        <v>18</v>
      </c>
      <c r="CK175" s="40">
        <f>'Two-stage Capacity unit'!$H$45</f>
        <v>2500</v>
      </c>
      <c r="CL175" s="40">
        <f>'Two-stage Capacity unit'!$H$44</f>
        <v>3300</v>
      </c>
    </row>
    <row r="176" spans="79:97">
      <c r="CA176" s="28"/>
      <c r="CB176" s="51" t="s">
        <v>83</v>
      </c>
      <c r="CC176" s="52">
        <f>'Two-stage Capacity unit'!$L$29</f>
        <v>1850</v>
      </c>
      <c r="CD176" s="52">
        <f>IF('Two-stage Capacity unit'!$BD$28="Required test",$CD$181*$CH$178,IF('Two-stage Capacity unit'!$BD$34="Default",$CD$181*$CH$178,'Two-stage Capacity unit'!$L$30))</f>
        <v>750</v>
      </c>
      <c r="CG176" s="40" t="s">
        <v>346</v>
      </c>
      <c r="CH176" s="44">
        <f>data!$K$16</f>
        <v>0.91400000000000003</v>
      </c>
      <c r="CJ176" s="40" t="s">
        <v>1</v>
      </c>
      <c r="CK176" s="40">
        <f>'Two-stage Capacity unit'!$L$45</f>
        <v>480</v>
      </c>
      <c r="CL176" s="40">
        <f>'Two-stage Capacity unit'!$L$44</f>
        <v>580</v>
      </c>
    </row>
    <row r="177" spans="79:97">
      <c r="CA177" s="28"/>
      <c r="CB177" s="44" t="s">
        <v>313</v>
      </c>
      <c r="CC177" s="61">
        <f>$CC$175/$CC$176</f>
        <v>2.5945945945945947</v>
      </c>
      <c r="CD177" s="61">
        <f>$CD$175/$CD$176</f>
        <v>2.9778666666666669</v>
      </c>
      <c r="CG177" s="40" t="s">
        <v>191</v>
      </c>
      <c r="CH177" s="44">
        <f>data!$K$17</f>
        <v>0.85899999999999999</v>
      </c>
      <c r="CJ177" s="40" t="s">
        <v>313</v>
      </c>
      <c r="CK177" s="41">
        <f>$CK$175/$CK$176</f>
        <v>5.208333333333333</v>
      </c>
      <c r="CL177" s="41">
        <f>$CL$175/$CL$176</f>
        <v>5.6896551724137927</v>
      </c>
    </row>
    <row r="178" spans="79:97">
      <c r="CA178" s="28"/>
      <c r="CB178" s="44"/>
      <c r="CG178" s="40" t="s">
        <v>347</v>
      </c>
      <c r="CH178" s="44">
        <f>data!$K$18</f>
        <v>1.25</v>
      </c>
      <c r="CJ178" s="40" t="s">
        <v>76</v>
      </c>
      <c r="CK178" s="150">
        <f>(1-($CK$177/$CL$177))/(1-($CK$175/$CL$175))</f>
        <v>0.34895833333333315</v>
      </c>
      <c r="CL178" s="150"/>
    </row>
    <row r="179" spans="79:97" ht="15">
      <c r="CA179" s="28"/>
      <c r="CB179" s="44"/>
      <c r="CC179" s="44" t="s">
        <v>134</v>
      </c>
      <c r="CD179" s="44" t="s">
        <v>348</v>
      </c>
      <c r="CG179" s="44" t="s">
        <v>146</v>
      </c>
      <c r="CH179" s="63">
        <f>data!$K$11</f>
        <v>20</v>
      </c>
    </row>
    <row r="180" spans="79:97" ht="15">
      <c r="CA180" s="28"/>
      <c r="CB180" s="51" t="s">
        <v>18</v>
      </c>
      <c r="CC180" s="52">
        <f>'Two-stage Capacity unit'!$H$34</f>
        <v>5500</v>
      </c>
      <c r="CD180" s="52">
        <f>'Two-stage Capacity unit'!$H$35</f>
        <v>2600</v>
      </c>
      <c r="CG180" s="44" t="s">
        <v>148</v>
      </c>
      <c r="CH180" s="63">
        <f>data!$K$12</f>
        <v>46</v>
      </c>
    </row>
    <row r="181" spans="79:97">
      <c r="CA181" s="28"/>
      <c r="CB181" s="51" t="s">
        <v>83</v>
      </c>
      <c r="CC181" s="52">
        <f>'Two-stage Capacity unit'!$L$34</f>
        <v>1520</v>
      </c>
      <c r="CD181" s="52">
        <f>'Two-stage Capacity unit'!$L$35</f>
        <v>600</v>
      </c>
    </row>
    <row r="182" spans="79:97">
      <c r="CA182" s="28"/>
      <c r="CB182" s="44" t="s">
        <v>313</v>
      </c>
      <c r="CC182" s="61">
        <f>$CC$180/$CC$181</f>
        <v>3.6184210526315788</v>
      </c>
      <c r="CD182" s="61">
        <f>$CD$180/$CD$181</f>
        <v>4.333333333333333</v>
      </c>
    </row>
    <row r="183" spans="79:97">
      <c r="CA183" s="28"/>
      <c r="CB183" s="44"/>
      <c r="CC183" s="44"/>
      <c r="CD183" s="63"/>
    </row>
    <row r="184" spans="79:97" ht="15">
      <c r="CA184" s="28"/>
      <c r="CB184" s="44"/>
      <c r="CC184" s="44" t="s">
        <v>312</v>
      </c>
      <c r="CD184" s="44" t="s">
        <v>151</v>
      </c>
    </row>
    <row r="185" spans="79:97">
      <c r="CA185" s="28"/>
      <c r="CB185" s="51" t="s">
        <v>18</v>
      </c>
      <c r="CC185" s="52">
        <f>IF('Two-stage Capacity unit'!$BD$28="Required test",$CC$180*$CH$175,IF('Two-stage Capacity unit'!$BD$39="Default",$CC$180*$CH$175,'Two-stage Capacity unit'!$H$39))</f>
        <v>5923.5</v>
      </c>
      <c r="CD185" s="52">
        <f>IF('Two-stage Capacity unit'!$BD$28="Required test",$CD$180*$CH$175,IF('Two-stage Capacity unit'!$BD$40="Default",$CD$180*$CH$175,'Two-stage Capacity unit'!$H$40))</f>
        <v>2800.2</v>
      </c>
    </row>
    <row r="186" spans="79:97">
      <c r="CA186" s="28"/>
      <c r="CB186" s="51" t="s">
        <v>83</v>
      </c>
      <c r="CC186" s="52">
        <f>IF('Two-stage Capacity unit'!$BD$28="Required test",$CC$181*$CH$176,IF('Two-stage Capacity unit'!$BD$39="Default",$CC$181*$CH$176,'Two-stage Capacity unit'!$L$39))</f>
        <v>1389.28</v>
      </c>
      <c r="CD186" s="52">
        <f>IF('Two-stage Capacity unit'!$BD$28="Required test",$CD$181*$CH$176,IF('Two-stage Capacity unit'!$BD$40="Default",$CD$181*$CH$176,'Two-stage Capacity unit'!$L$40))</f>
        <v>548.4</v>
      </c>
    </row>
    <row r="187" spans="79:97">
      <c r="CA187" s="28"/>
      <c r="CB187" s="44" t="s">
        <v>313</v>
      </c>
      <c r="CC187" s="61">
        <f>$CC$185/$CC$186</f>
        <v>4.2637193366348036</v>
      </c>
      <c r="CD187" s="61">
        <f>$CD$185/$CD$186</f>
        <v>5.1061269146608312</v>
      </c>
    </row>
    <row r="188" spans="79:97">
      <c r="CA188" s="28"/>
    </row>
    <row r="189" spans="79:97">
      <c r="CA189" s="28"/>
      <c r="CB189" s="97" t="s">
        <v>5</v>
      </c>
      <c r="CC189" s="98" t="s">
        <v>7</v>
      </c>
      <c r="CD189" s="97" t="s">
        <v>8</v>
      </c>
      <c r="CE189" s="66" t="s">
        <v>9</v>
      </c>
      <c r="CF189" s="66" t="s">
        <v>10</v>
      </c>
      <c r="CG189" s="99" t="s">
        <v>20</v>
      </c>
      <c r="CH189" s="99"/>
      <c r="CI189" s="99" t="s">
        <v>11</v>
      </c>
      <c r="CJ189" s="99"/>
      <c r="CK189" s="67" t="s">
        <v>2</v>
      </c>
      <c r="CL189" s="99" t="s">
        <v>13</v>
      </c>
      <c r="CM189" s="99"/>
      <c r="CN189" s="99" t="s">
        <v>16</v>
      </c>
      <c r="CO189" s="99"/>
      <c r="CP189" s="99" t="s">
        <v>17</v>
      </c>
      <c r="CQ189" s="99"/>
      <c r="CR189" s="99"/>
      <c r="CS189" s="67" t="s">
        <v>3</v>
      </c>
    </row>
    <row r="190" spans="79:97">
      <c r="CB190" s="97"/>
      <c r="CC190" s="98"/>
      <c r="CD190" s="97"/>
      <c r="CE190" s="67" t="s">
        <v>153</v>
      </c>
      <c r="CF190" s="96" t="s">
        <v>314</v>
      </c>
      <c r="CG190" s="96" t="s">
        <v>315</v>
      </c>
      <c r="CH190" s="96" t="s">
        <v>299</v>
      </c>
      <c r="CI190" s="68" t="s">
        <v>4</v>
      </c>
      <c r="CJ190" s="68" t="s">
        <v>12</v>
      </c>
      <c r="CK190" s="96" t="s">
        <v>317</v>
      </c>
      <c r="CL190" s="68" t="s">
        <v>4</v>
      </c>
      <c r="CM190" s="68" t="s">
        <v>12</v>
      </c>
      <c r="CN190" s="68" t="s">
        <v>4</v>
      </c>
      <c r="CO190" s="68" t="s">
        <v>98</v>
      </c>
      <c r="CP190" s="68" t="s">
        <v>318</v>
      </c>
      <c r="CQ190" s="68" t="s">
        <v>349</v>
      </c>
      <c r="CR190" s="68" t="s">
        <v>84</v>
      </c>
      <c r="CS190" s="96" t="s">
        <v>342</v>
      </c>
    </row>
    <row r="191" spans="79:97" ht="15">
      <c r="CB191" s="63" t="s">
        <v>6</v>
      </c>
      <c r="CC191" s="63" t="s">
        <v>159</v>
      </c>
      <c r="CD191" s="63" t="s">
        <v>332</v>
      </c>
      <c r="CE191" s="68" t="s">
        <v>15</v>
      </c>
      <c r="CF191" s="99"/>
      <c r="CG191" s="99"/>
      <c r="CH191" s="99"/>
      <c r="CI191" s="67" t="s">
        <v>320</v>
      </c>
      <c r="CJ191" s="67" t="s">
        <v>163</v>
      </c>
      <c r="CK191" s="96"/>
      <c r="CL191" s="68" t="s">
        <v>350</v>
      </c>
      <c r="CM191" s="68" t="s">
        <v>166</v>
      </c>
      <c r="CN191" s="67" t="s">
        <v>322</v>
      </c>
      <c r="CO191" s="67" t="s">
        <v>323</v>
      </c>
      <c r="CP191" s="67" t="s">
        <v>173</v>
      </c>
      <c r="CQ191" s="67" t="s">
        <v>324</v>
      </c>
      <c r="CR191" s="67" t="s">
        <v>321</v>
      </c>
      <c r="CS191" s="96"/>
    </row>
    <row r="192" spans="79:97">
      <c r="CB192" s="63">
        <v>1</v>
      </c>
      <c r="CC192" s="63">
        <f>data!$K22</f>
        <v>20</v>
      </c>
      <c r="CD192" s="63">
        <f>data!$L22</f>
        <v>0</v>
      </c>
      <c r="CE192" s="70">
        <f t="shared" ref="CE192:CE222" si="45">$CC$172*($CC192-$CH$179)/($CH$180-$CH$179)</f>
        <v>0</v>
      </c>
      <c r="CF192" s="71">
        <f t="shared" ref="CF192:CF222" si="46">1-$CH$174*(1-$CG192)</f>
        <v>0.73</v>
      </c>
      <c r="CG192" s="71">
        <f t="shared" ref="CG192:CG222" si="47">IF($CE192&lt;$CJ192,$CE192/$CJ192,1)</f>
        <v>0</v>
      </c>
      <c r="CH192" s="71">
        <f t="shared" ref="CH192:CH222" si="48">IF(($CI192-$CE192)/($CI192-$CJ192)&gt;1,1,IF(($CI192-$CE192)/($CI192-$CJ192)&lt;0,0,($CI192-$CE192)/($CI192-$CJ192)))</f>
        <v>1</v>
      </c>
      <c r="CI192" s="72">
        <f t="shared" ref="CI192:CI222" si="49">IF($CC192&lt;=35,$CC$180+($CC$185-$CC$180)/(35-29)*(35-$CC192),$CC$175+($CC$180-$CC$175)/(46-35)*(46-$CC192))</f>
        <v>6558.75</v>
      </c>
      <c r="CJ192" s="72">
        <f t="shared" ref="CJ192:CJ222" si="50">IF($CC192&lt;=35,$CD$180+($CD$185-$CD$180)/(35-29)*(35-$CC192),$CD$175+($CD$180-$CD$175)/(46-35)*(46-$CC192))</f>
        <v>3100.4999999999995</v>
      </c>
      <c r="CK192" s="70">
        <f t="shared" ref="CK192:CK222" si="51">IF($CE192&lt;$CI192,$CE192*$CD192,$CI192*$CD192)</f>
        <v>0</v>
      </c>
      <c r="CL192" s="72">
        <f t="shared" ref="CL192:CL222" si="52">IF($CC192&lt;=35,$CC$181+($CC$186-$CC$181)/(35-29)*(35-$CC192),$CC$176+($CC$181-$CC$176)/(46-35)*(46-$CC192))</f>
        <v>1193.1999999999998</v>
      </c>
      <c r="CM192" s="72">
        <f t="shared" ref="CM192:CM222" si="53">IF($CC192&lt;=35,$CD$181+(($CD$186-$CD$181)/(35-29)*(35-$CC192)),($CD$176+($CD$181-$CD$176)/(46-35)*(46-$CC192)))</f>
        <v>470.99999999999994</v>
      </c>
      <c r="CN192" s="71">
        <f t="shared" ref="CN192:CN222" si="54">$CI192/$CL192</f>
        <v>5.4967733825008391</v>
      </c>
      <c r="CO192" s="71">
        <f t="shared" ref="CO192:CO222" si="55">$CJ192/$CM192</f>
        <v>6.5828025477707008</v>
      </c>
      <c r="CP192" s="72">
        <f t="shared" ref="CP192:CP222" si="56">IF($CE192&lt;=$CJ192,$CG192*$CM192/$CF192,0)</f>
        <v>0</v>
      </c>
      <c r="CQ192" s="72">
        <f t="shared" ref="CQ192:CQ222" si="57">IF($CJ192&lt;$CE192,IF($CE192&lt;=$CI192,$CH192*$CM192+(1-$CH192)*$CL192,0),0)</f>
        <v>0</v>
      </c>
      <c r="CR192" s="72">
        <f t="shared" ref="CR192:CR222" si="58">IF($CE192&gt;$CI192,$CL192,0)</f>
        <v>0</v>
      </c>
      <c r="CS192" s="70">
        <f t="shared" ref="CS192:CS222" si="59">IF($CF192=0,0,$CP192*$CD192+$CQ192*$CD192+$CR192*$CD192)</f>
        <v>0</v>
      </c>
    </row>
    <row r="193" spans="80:97">
      <c r="CB193" s="63">
        <v>2</v>
      </c>
      <c r="CC193" s="63">
        <f>data!$K23</f>
        <v>21</v>
      </c>
      <c r="CD193" s="63">
        <f>data!$L23</f>
        <v>307</v>
      </c>
      <c r="CE193" s="70">
        <f t="shared" si="45"/>
        <v>184.61538461538461</v>
      </c>
      <c r="CF193" s="71">
        <f t="shared" si="46"/>
        <v>0.74625170751608039</v>
      </c>
      <c r="CG193" s="71">
        <f t="shared" si="47"/>
        <v>6.019150931881604E-2</v>
      </c>
      <c r="CH193" s="71">
        <f t="shared" si="48"/>
        <v>1</v>
      </c>
      <c r="CI193" s="72">
        <f t="shared" si="49"/>
        <v>6488.166666666667</v>
      </c>
      <c r="CJ193" s="72">
        <f t="shared" si="50"/>
        <v>3067.1333333333328</v>
      </c>
      <c r="CK193" s="70">
        <f t="shared" si="51"/>
        <v>56676.923076923078</v>
      </c>
      <c r="CL193" s="72">
        <f t="shared" si="52"/>
        <v>1214.9866666666667</v>
      </c>
      <c r="CM193" s="72">
        <f t="shared" si="53"/>
        <v>479.59999999999997</v>
      </c>
      <c r="CN193" s="71">
        <f t="shared" si="54"/>
        <v>5.340113471752777</v>
      </c>
      <c r="CO193" s="71">
        <f t="shared" si="55"/>
        <v>6.3951904364748398</v>
      </c>
      <c r="CP193" s="72">
        <f t="shared" si="56"/>
        <v>38.683794728445726</v>
      </c>
      <c r="CQ193" s="72">
        <f t="shared" si="57"/>
        <v>0</v>
      </c>
      <c r="CR193" s="72">
        <f t="shared" si="58"/>
        <v>0</v>
      </c>
      <c r="CS193" s="70">
        <f t="shared" si="59"/>
        <v>11875.924981632837</v>
      </c>
    </row>
    <row r="194" spans="80:97">
      <c r="CB194" s="63">
        <v>3</v>
      </c>
      <c r="CC194" s="63">
        <f>data!$K24</f>
        <v>22</v>
      </c>
      <c r="CD194" s="63">
        <f>data!$L24</f>
        <v>311</v>
      </c>
      <c r="CE194" s="70">
        <f t="shared" si="45"/>
        <v>369.23076923076923</v>
      </c>
      <c r="CF194" s="71">
        <f t="shared" si="46"/>
        <v>0.762860901528015</v>
      </c>
      <c r="CG194" s="71">
        <f t="shared" si="47"/>
        <v>0.12170704269635192</v>
      </c>
      <c r="CH194" s="71">
        <f t="shared" si="48"/>
        <v>1</v>
      </c>
      <c r="CI194" s="72">
        <f t="shared" si="49"/>
        <v>6417.583333333333</v>
      </c>
      <c r="CJ194" s="72">
        <f t="shared" si="50"/>
        <v>3033.7666666666664</v>
      </c>
      <c r="CK194" s="70">
        <f t="shared" si="51"/>
        <v>114830.76923076923</v>
      </c>
      <c r="CL194" s="72">
        <f t="shared" si="52"/>
        <v>1236.7733333333333</v>
      </c>
      <c r="CM194" s="72">
        <f t="shared" si="53"/>
        <v>488.19999999999993</v>
      </c>
      <c r="CN194" s="71">
        <f t="shared" si="54"/>
        <v>5.1889729187778952</v>
      </c>
      <c r="CO194" s="71">
        <f t="shared" si="55"/>
        <v>6.2141881742455283</v>
      </c>
      <c r="CP194" s="72">
        <f t="shared" si="56"/>
        <v>77.887565249897634</v>
      </c>
      <c r="CQ194" s="72">
        <f t="shared" si="57"/>
        <v>0</v>
      </c>
      <c r="CR194" s="72">
        <f t="shared" si="58"/>
        <v>0</v>
      </c>
      <c r="CS194" s="70">
        <f t="shared" si="59"/>
        <v>24223.032792718164</v>
      </c>
    </row>
    <row r="195" spans="80:97">
      <c r="CB195" s="63">
        <v>4</v>
      </c>
      <c r="CC195" s="63">
        <f>data!$K25</f>
        <v>23</v>
      </c>
      <c r="CD195" s="63">
        <f>data!$L25</f>
        <v>317</v>
      </c>
      <c r="CE195" s="70">
        <f t="shared" si="45"/>
        <v>553.84615384615381</v>
      </c>
      <c r="CF195" s="71">
        <f t="shared" si="46"/>
        <v>0.77983950857834339</v>
      </c>
      <c r="CG195" s="71">
        <f t="shared" si="47"/>
        <v>0.18459077251238298</v>
      </c>
      <c r="CH195" s="71">
        <f t="shared" si="48"/>
        <v>1</v>
      </c>
      <c r="CI195" s="72">
        <f t="shared" si="49"/>
        <v>6347</v>
      </c>
      <c r="CJ195" s="72">
        <f t="shared" si="50"/>
        <v>3000.3999999999996</v>
      </c>
      <c r="CK195" s="70">
        <f t="shared" si="51"/>
        <v>175569.23076923075</v>
      </c>
      <c r="CL195" s="72">
        <f t="shared" si="52"/>
        <v>1258.56</v>
      </c>
      <c r="CM195" s="72">
        <f t="shared" si="53"/>
        <v>496.79999999999995</v>
      </c>
      <c r="CN195" s="71">
        <f t="shared" si="54"/>
        <v>5.0430650902618872</v>
      </c>
      <c r="CO195" s="71">
        <f t="shared" si="55"/>
        <v>6.0394524959742348</v>
      </c>
      <c r="CP195" s="72">
        <f t="shared" si="56"/>
        <v>117.59431879942912</v>
      </c>
      <c r="CQ195" s="72">
        <f t="shared" si="57"/>
        <v>0</v>
      </c>
      <c r="CR195" s="72">
        <f t="shared" si="58"/>
        <v>0</v>
      </c>
      <c r="CS195" s="70">
        <f t="shared" si="59"/>
        <v>37277.399059419033</v>
      </c>
    </row>
    <row r="196" spans="80:97">
      <c r="CB196" s="63">
        <v>5</v>
      </c>
      <c r="CC196" s="63">
        <f>data!$K26</f>
        <v>24</v>
      </c>
      <c r="CD196" s="63">
        <f>data!$L26</f>
        <v>325</v>
      </c>
      <c r="CE196" s="70">
        <f t="shared" si="45"/>
        <v>738.46153846153845</v>
      </c>
      <c r="CF196" s="71">
        <f t="shared" si="46"/>
        <v>0.7971999917037047</v>
      </c>
      <c r="CG196" s="71">
        <f t="shared" si="47"/>
        <v>0.2488888581618694</v>
      </c>
      <c r="CH196" s="71">
        <f t="shared" si="48"/>
        <v>1</v>
      </c>
      <c r="CI196" s="72">
        <f t="shared" si="49"/>
        <v>6276.416666666667</v>
      </c>
      <c r="CJ196" s="72">
        <f t="shared" si="50"/>
        <v>2967.0333333333328</v>
      </c>
      <c r="CK196" s="70">
        <f t="shared" si="51"/>
        <v>240000</v>
      </c>
      <c r="CL196" s="72">
        <f t="shared" si="52"/>
        <v>1280.3466666666666</v>
      </c>
      <c r="CM196" s="72">
        <f t="shared" si="53"/>
        <v>505.4</v>
      </c>
      <c r="CN196" s="71">
        <f t="shared" si="54"/>
        <v>4.9021228625580582</v>
      </c>
      <c r="CO196" s="71">
        <f t="shared" si="55"/>
        <v>5.8706635008574057</v>
      </c>
      <c r="CP196" s="72">
        <f t="shared" si="56"/>
        <v>157.78779506279847</v>
      </c>
      <c r="CQ196" s="72">
        <f t="shared" si="57"/>
        <v>0</v>
      </c>
      <c r="CR196" s="72">
        <f t="shared" si="58"/>
        <v>0</v>
      </c>
      <c r="CS196" s="70">
        <f t="shared" si="59"/>
        <v>51281.033395409504</v>
      </c>
    </row>
    <row r="197" spans="80:97">
      <c r="CB197" s="63">
        <v>6</v>
      </c>
      <c r="CC197" s="63">
        <f>data!$K27</f>
        <v>25</v>
      </c>
      <c r="CD197" s="63">
        <f>data!$L27</f>
        <v>334</v>
      </c>
      <c r="CE197" s="70">
        <f t="shared" si="45"/>
        <v>923.07692307692309</v>
      </c>
      <c r="CF197" s="71">
        <f t="shared" si="46"/>
        <v>0.81495538094447306</v>
      </c>
      <c r="CG197" s="71">
        <f t="shared" si="47"/>
        <v>0.31464955905360409</v>
      </c>
      <c r="CH197" s="71">
        <f t="shared" si="48"/>
        <v>1</v>
      </c>
      <c r="CI197" s="72">
        <f t="shared" si="49"/>
        <v>6205.833333333333</v>
      </c>
      <c r="CJ197" s="72">
        <f t="shared" si="50"/>
        <v>2933.6666666666665</v>
      </c>
      <c r="CK197" s="70">
        <f t="shared" si="51"/>
        <v>308307.69230769231</v>
      </c>
      <c r="CL197" s="72">
        <f t="shared" si="52"/>
        <v>1302.1333333333332</v>
      </c>
      <c r="CM197" s="72">
        <f t="shared" si="53"/>
        <v>514</v>
      </c>
      <c r="CN197" s="71">
        <f t="shared" si="54"/>
        <v>4.7658969895556016</v>
      </c>
      <c r="CO197" s="71">
        <f t="shared" si="55"/>
        <v>5.7075226977950706</v>
      </c>
      <c r="CP197" s="72">
        <f t="shared" si="56"/>
        <v>198.45242713302846</v>
      </c>
      <c r="CQ197" s="72">
        <f t="shared" si="57"/>
        <v>0</v>
      </c>
      <c r="CR197" s="72">
        <f t="shared" si="58"/>
        <v>0</v>
      </c>
      <c r="CS197" s="70">
        <f t="shared" si="59"/>
        <v>66283.110662431514</v>
      </c>
    </row>
    <row r="198" spans="80:97">
      <c r="CB198" s="63">
        <v>7</v>
      </c>
      <c r="CC198" s="63">
        <f>data!$K28</f>
        <v>26</v>
      </c>
      <c r="CD198" s="63">
        <f>data!$L28</f>
        <v>342</v>
      </c>
      <c r="CE198" s="70">
        <f t="shared" si="45"/>
        <v>1107.6923076923076</v>
      </c>
      <c r="CF198" s="71">
        <f t="shared" si="46"/>
        <v>0.83311930596039141</v>
      </c>
      <c r="CG198" s="71">
        <f t="shared" si="47"/>
        <v>0.38192335540885691</v>
      </c>
      <c r="CH198" s="71">
        <f t="shared" si="48"/>
        <v>1</v>
      </c>
      <c r="CI198" s="72">
        <f t="shared" si="49"/>
        <v>6135.25</v>
      </c>
      <c r="CJ198" s="72">
        <f t="shared" si="50"/>
        <v>2900.2999999999997</v>
      </c>
      <c r="CK198" s="70">
        <f t="shared" si="51"/>
        <v>378830.76923076919</v>
      </c>
      <c r="CL198" s="72">
        <f t="shared" si="52"/>
        <v>1323.92</v>
      </c>
      <c r="CM198" s="72">
        <f t="shared" si="53"/>
        <v>522.59999999999991</v>
      </c>
      <c r="CN198" s="71">
        <f t="shared" si="54"/>
        <v>4.6341546316998006</v>
      </c>
      <c r="CO198" s="71">
        <f t="shared" si="55"/>
        <v>5.5497512437810954</v>
      </c>
      <c r="CP198" s="72">
        <f t="shared" si="56"/>
        <v>239.57330493810181</v>
      </c>
      <c r="CQ198" s="72">
        <f t="shared" si="57"/>
        <v>0</v>
      </c>
      <c r="CR198" s="72">
        <f t="shared" si="58"/>
        <v>0</v>
      </c>
      <c r="CS198" s="70">
        <f t="shared" si="59"/>
        <v>81934.070288830815</v>
      </c>
    </row>
    <row r="199" spans="80:97">
      <c r="CB199" s="63">
        <v>8</v>
      </c>
      <c r="CC199" s="63">
        <f>data!$K29</f>
        <v>27</v>
      </c>
      <c r="CD199" s="63">
        <f>data!$L29</f>
        <v>349</v>
      </c>
      <c r="CE199" s="70">
        <f t="shared" si="45"/>
        <v>1292.3076923076924</v>
      </c>
      <c r="CF199" s="71">
        <f t="shared" si="46"/>
        <v>0.85170603092377806</v>
      </c>
      <c r="CG199" s="71">
        <f t="shared" si="47"/>
        <v>0.45076307749547456</v>
      </c>
      <c r="CH199" s="71">
        <f t="shared" si="48"/>
        <v>1</v>
      </c>
      <c r="CI199" s="72">
        <f t="shared" si="49"/>
        <v>6064.666666666667</v>
      </c>
      <c r="CJ199" s="72">
        <f t="shared" si="50"/>
        <v>2866.9333333333329</v>
      </c>
      <c r="CK199" s="70">
        <f t="shared" si="51"/>
        <v>451015.38461538462</v>
      </c>
      <c r="CL199" s="72">
        <f t="shared" si="52"/>
        <v>1345.7066666666667</v>
      </c>
      <c r="CM199" s="72">
        <f t="shared" si="53"/>
        <v>531.19999999999993</v>
      </c>
      <c r="CN199" s="71">
        <f t="shared" si="54"/>
        <v>4.5066780279010779</v>
      </c>
      <c r="CO199" s="71">
        <f t="shared" si="55"/>
        <v>5.3970883534136549</v>
      </c>
      <c r="CP199" s="72">
        <f t="shared" si="56"/>
        <v>281.13614095920946</v>
      </c>
      <c r="CQ199" s="72">
        <f t="shared" si="57"/>
        <v>0</v>
      </c>
      <c r="CR199" s="72">
        <f t="shared" si="58"/>
        <v>0</v>
      </c>
      <c r="CS199" s="70">
        <f t="shared" si="59"/>
        <v>98116.513194764106</v>
      </c>
    </row>
    <row r="200" spans="80:97">
      <c r="CB200" s="63">
        <v>9</v>
      </c>
      <c r="CC200" s="63">
        <f>data!$K30</f>
        <v>28</v>
      </c>
      <c r="CD200" s="63">
        <f>data!$L30</f>
        <v>354</v>
      </c>
      <c r="CE200" s="70">
        <f t="shared" si="45"/>
        <v>1476.9230769230769</v>
      </c>
      <c r="CF200" s="71">
        <f t="shared" si="46"/>
        <v>0.87073049187804441</v>
      </c>
      <c r="CG200" s="71">
        <f t="shared" si="47"/>
        <v>0.52122404399275712</v>
      </c>
      <c r="CH200" s="71">
        <f t="shared" si="48"/>
        <v>1</v>
      </c>
      <c r="CI200" s="72">
        <f t="shared" si="49"/>
        <v>5994.083333333333</v>
      </c>
      <c r="CJ200" s="72">
        <f t="shared" si="50"/>
        <v>2833.5666666666666</v>
      </c>
      <c r="CK200" s="70">
        <f t="shared" si="51"/>
        <v>522830.76923076925</v>
      </c>
      <c r="CL200" s="72">
        <f t="shared" si="52"/>
        <v>1367.4933333333333</v>
      </c>
      <c r="CM200" s="72">
        <f t="shared" si="53"/>
        <v>539.79999999999995</v>
      </c>
      <c r="CN200" s="71">
        <f t="shared" si="54"/>
        <v>4.3832632943975351</v>
      </c>
      <c r="CO200" s="71">
        <f t="shared" si="55"/>
        <v>5.249289860442139</v>
      </c>
      <c r="CP200" s="72">
        <f t="shared" si="56"/>
        <v>323.1272380739108</v>
      </c>
      <c r="CQ200" s="72">
        <f t="shared" si="57"/>
        <v>0</v>
      </c>
      <c r="CR200" s="72">
        <f t="shared" si="58"/>
        <v>0</v>
      </c>
      <c r="CS200" s="70">
        <f t="shared" si="59"/>
        <v>114387.04227816443</v>
      </c>
    </row>
    <row r="201" spans="80:97">
      <c r="CB201" s="63">
        <v>10</v>
      </c>
      <c r="CC201" s="63">
        <f>data!$K31</f>
        <v>29</v>
      </c>
      <c r="CD201" s="63">
        <f>data!$L31</f>
        <v>356</v>
      </c>
      <c r="CE201" s="70">
        <f t="shared" si="45"/>
        <v>1661.5384615384614</v>
      </c>
      <c r="CF201" s="71">
        <f t="shared" si="46"/>
        <v>0.89020833676715405</v>
      </c>
      <c r="CG201" s="71">
        <f t="shared" si="47"/>
        <v>0.59336421024871855</v>
      </c>
      <c r="CH201" s="71">
        <f t="shared" si="48"/>
        <v>1</v>
      </c>
      <c r="CI201" s="72">
        <f t="shared" si="49"/>
        <v>5923.5</v>
      </c>
      <c r="CJ201" s="72">
        <f t="shared" si="50"/>
        <v>2800.2</v>
      </c>
      <c r="CK201" s="70">
        <f t="shared" si="51"/>
        <v>591507.69230769225</v>
      </c>
      <c r="CL201" s="72">
        <f t="shared" si="52"/>
        <v>1389.28</v>
      </c>
      <c r="CM201" s="72">
        <f t="shared" si="53"/>
        <v>548.4</v>
      </c>
      <c r="CN201" s="71">
        <f t="shared" si="54"/>
        <v>4.2637193366348036</v>
      </c>
      <c r="CO201" s="71">
        <f t="shared" si="55"/>
        <v>5.1061269146608312</v>
      </c>
      <c r="CP201" s="72">
        <f t="shared" si="56"/>
        <v>365.53345937211805</v>
      </c>
      <c r="CQ201" s="72">
        <f t="shared" si="57"/>
        <v>0</v>
      </c>
      <c r="CR201" s="72">
        <f t="shared" si="58"/>
        <v>0</v>
      </c>
      <c r="CS201" s="70">
        <f t="shared" si="59"/>
        <v>130129.91153647403</v>
      </c>
    </row>
    <row r="202" spans="80:97">
      <c r="CB202" s="63">
        <v>11</v>
      </c>
      <c r="CC202" s="63">
        <f>data!$K32</f>
        <v>30</v>
      </c>
      <c r="CD202" s="63">
        <f>data!$L32</f>
        <v>355</v>
      </c>
      <c r="CE202" s="70">
        <f t="shared" si="45"/>
        <v>1846.1538461538462</v>
      </c>
      <c r="CF202" s="71">
        <f t="shared" si="46"/>
        <v>0.91015596836149815</v>
      </c>
      <c r="CG202" s="71">
        <f t="shared" si="47"/>
        <v>0.66724432726480809</v>
      </c>
      <c r="CH202" s="71">
        <f t="shared" si="48"/>
        <v>1</v>
      </c>
      <c r="CI202" s="72">
        <f t="shared" si="49"/>
        <v>5852.916666666667</v>
      </c>
      <c r="CJ202" s="72">
        <f t="shared" si="50"/>
        <v>2766.833333333333</v>
      </c>
      <c r="CK202" s="70">
        <f t="shared" si="51"/>
        <v>655384.61538461538</v>
      </c>
      <c r="CL202" s="72">
        <f t="shared" si="52"/>
        <v>1411.0666666666666</v>
      </c>
      <c r="CM202" s="72">
        <f t="shared" si="53"/>
        <v>557</v>
      </c>
      <c r="CN202" s="71">
        <f t="shared" si="54"/>
        <v>4.1478668619484083</v>
      </c>
      <c r="CO202" s="71">
        <f t="shared" si="55"/>
        <v>4.9673847995212439</v>
      </c>
      <c r="CP202" s="72">
        <f t="shared" si="56"/>
        <v>408.34219980512518</v>
      </c>
      <c r="CQ202" s="72">
        <f t="shared" si="57"/>
        <v>0</v>
      </c>
      <c r="CR202" s="72">
        <f t="shared" si="58"/>
        <v>0</v>
      </c>
      <c r="CS202" s="70">
        <f t="shared" si="59"/>
        <v>144961.48093081944</v>
      </c>
    </row>
    <row r="203" spans="80:97">
      <c r="CB203" s="63">
        <v>12</v>
      </c>
      <c r="CC203" s="63">
        <f>data!$K33</f>
        <v>31</v>
      </c>
      <c r="CD203" s="63">
        <f>data!$L33</f>
        <v>351</v>
      </c>
      <c r="CE203" s="70">
        <f t="shared" si="45"/>
        <v>2030.7692307692307</v>
      </c>
      <c r="CF203" s="71">
        <f t="shared" si="46"/>
        <v>0.93059059032767633</v>
      </c>
      <c r="CG203" s="71">
        <f t="shared" si="47"/>
        <v>0.74292811232472711</v>
      </c>
      <c r="CH203" s="71">
        <f t="shared" si="48"/>
        <v>1</v>
      </c>
      <c r="CI203" s="72">
        <f t="shared" si="49"/>
        <v>5782.333333333333</v>
      </c>
      <c r="CJ203" s="72">
        <f t="shared" si="50"/>
        <v>2733.4666666666667</v>
      </c>
      <c r="CK203" s="70">
        <f t="shared" si="51"/>
        <v>712800</v>
      </c>
      <c r="CL203" s="72">
        <f t="shared" si="52"/>
        <v>1432.8533333333332</v>
      </c>
      <c r="CM203" s="72">
        <f t="shared" si="53"/>
        <v>565.6</v>
      </c>
      <c r="CN203" s="71">
        <f t="shared" si="54"/>
        <v>4.0355374823196604</v>
      </c>
      <c r="CO203" s="71">
        <f t="shared" si="55"/>
        <v>4.8328618576143327</v>
      </c>
      <c r="CP203" s="72">
        <f t="shared" si="56"/>
        <v>451.54135953911407</v>
      </c>
      <c r="CQ203" s="72">
        <f t="shared" si="57"/>
        <v>0</v>
      </c>
      <c r="CR203" s="72">
        <f t="shared" si="58"/>
        <v>0</v>
      </c>
      <c r="CS203" s="70">
        <f t="shared" si="59"/>
        <v>158491.01719822903</v>
      </c>
    </row>
    <row r="204" spans="80:97">
      <c r="CB204" s="63">
        <v>13</v>
      </c>
      <c r="CC204" s="63">
        <f>data!$K34</f>
        <v>32</v>
      </c>
      <c r="CD204" s="63">
        <f>data!$L34</f>
        <v>344</v>
      </c>
      <c r="CE204" s="70">
        <f t="shared" si="45"/>
        <v>2215.3846153846152</v>
      </c>
      <c r="CF204" s="71">
        <f t="shared" si="46"/>
        <v>0.95153025671413882</v>
      </c>
      <c r="CG204" s="71">
        <f t="shared" si="47"/>
        <v>0.82048243227458806</v>
      </c>
      <c r="CH204" s="71">
        <f t="shared" si="48"/>
        <v>1</v>
      </c>
      <c r="CI204" s="72">
        <f t="shared" si="49"/>
        <v>5711.75</v>
      </c>
      <c r="CJ204" s="72">
        <f t="shared" si="50"/>
        <v>2700.1</v>
      </c>
      <c r="CK204" s="70">
        <f t="shared" si="51"/>
        <v>762092.30769230763</v>
      </c>
      <c r="CL204" s="72">
        <f t="shared" si="52"/>
        <v>1454.6399999999999</v>
      </c>
      <c r="CM204" s="72">
        <f t="shared" si="53"/>
        <v>574.20000000000005</v>
      </c>
      <c r="CN204" s="71">
        <f t="shared" si="54"/>
        <v>3.9265728977616456</v>
      </c>
      <c r="CO204" s="71">
        <f t="shared" si="55"/>
        <v>4.7023685127133401</v>
      </c>
      <c r="CP204" s="72">
        <f t="shared" si="56"/>
        <v>495.11931889476836</v>
      </c>
      <c r="CQ204" s="72">
        <f t="shared" si="57"/>
        <v>0</v>
      </c>
      <c r="CR204" s="72">
        <f t="shared" si="58"/>
        <v>0</v>
      </c>
      <c r="CS204" s="70">
        <f t="shared" si="59"/>
        <v>170321.04569980031</v>
      </c>
    </row>
    <row r="205" spans="80:97">
      <c r="CB205" s="63">
        <v>14</v>
      </c>
      <c r="CC205" s="63">
        <f>data!$K35</f>
        <v>33</v>
      </c>
      <c r="CD205" s="63">
        <f>data!$L35</f>
        <v>332</v>
      </c>
      <c r="CE205" s="70">
        <f t="shared" si="45"/>
        <v>2400</v>
      </c>
      <c r="CF205" s="71">
        <f t="shared" si="46"/>
        <v>0.97299392515187122</v>
      </c>
      <c r="CG205" s="71">
        <f t="shared" si="47"/>
        <v>0.89997750056248604</v>
      </c>
      <c r="CH205" s="71">
        <f t="shared" si="48"/>
        <v>1</v>
      </c>
      <c r="CI205" s="72">
        <f t="shared" si="49"/>
        <v>5641.166666666667</v>
      </c>
      <c r="CJ205" s="72">
        <f t="shared" si="50"/>
        <v>2666.7333333333331</v>
      </c>
      <c r="CK205" s="70">
        <f t="shared" si="51"/>
        <v>796800</v>
      </c>
      <c r="CL205" s="72">
        <f t="shared" si="52"/>
        <v>1476.4266666666667</v>
      </c>
      <c r="CM205" s="72">
        <f t="shared" si="53"/>
        <v>582.79999999999995</v>
      </c>
      <c r="CN205" s="71">
        <f t="shared" si="54"/>
        <v>3.8208241520066468</v>
      </c>
      <c r="CO205" s="71">
        <f t="shared" si="55"/>
        <v>4.575726378403111</v>
      </c>
      <c r="CP205" s="72">
        <f t="shared" si="56"/>
        <v>539.06491476393171</v>
      </c>
      <c r="CQ205" s="72">
        <f t="shared" si="57"/>
        <v>0</v>
      </c>
      <c r="CR205" s="72">
        <f t="shared" si="58"/>
        <v>0</v>
      </c>
      <c r="CS205" s="70">
        <f t="shared" si="59"/>
        <v>178969.55170162531</v>
      </c>
    </row>
    <row r="206" spans="80:97">
      <c r="CB206" s="63">
        <v>15</v>
      </c>
      <c r="CC206" s="63">
        <f>data!$K36</f>
        <v>34</v>
      </c>
      <c r="CD206" s="63">
        <f>data!$L36</f>
        <v>317</v>
      </c>
      <c r="CE206" s="70">
        <f t="shared" si="45"/>
        <v>2584.6153846153848</v>
      </c>
      <c r="CF206" s="71">
        <f t="shared" si="46"/>
        <v>0.99500151409962678</v>
      </c>
      <c r="CG206" s="71">
        <f t="shared" si="47"/>
        <v>0.98148708925787698</v>
      </c>
      <c r="CH206" s="71">
        <f t="shared" si="48"/>
        <v>1</v>
      </c>
      <c r="CI206" s="72">
        <f t="shared" si="49"/>
        <v>5570.583333333333</v>
      </c>
      <c r="CJ206" s="72">
        <f t="shared" si="50"/>
        <v>2633.3666666666668</v>
      </c>
      <c r="CK206" s="70">
        <f t="shared" si="51"/>
        <v>819323.07692307699</v>
      </c>
      <c r="CL206" s="72">
        <f t="shared" si="52"/>
        <v>1498.2133333333334</v>
      </c>
      <c r="CM206" s="72">
        <f t="shared" si="53"/>
        <v>591.4</v>
      </c>
      <c r="CN206" s="71">
        <f t="shared" si="54"/>
        <v>3.7181509531352899</v>
      </c>
      <c r="CO206" s="71">
        <f t="shared" si="55"/>
        <v>4.4527674444820207</v>
      </c>
      <c r="CP206" s="72">
        <f t="shared" si="56"/>
        <v>583.36741840273157</v>
      </c>
      <c r="CQ206" s="72">
        <f t="shared" si="57"/>
        <v>0</v>
      </c>
      <c r="CR206" s="72">
        <f t="shared" si="58"/>
        <v>0</v>
      </c>
      <c r="CS206" s="70">
        <f t="shared" si="59"/>
        <v>184927.4716336659</v>
      </c>
    </row>
    <row r="207" spans="80:97">
      <c r="CB207" s="63">
        <v>16</v>
      </c>
      <c r="CC207" s="63">
        <f>data!$K37</f>
        <v>35</v>
      </c>
      <c r="CD207" s="63">
        <f>data!$L37</f>
        <v>299</v>
      </c>
      <c r="CE207" s="70">
        <f t="shared" si="45"/>
        <v>2769.2307692307691</v>
      </c>
      <c r="CF207" s="71">
        <f t="shared" si="46"/>
        <v>1</v>
      </c>
      <c r="CG207" s="71">
        <f t="shared" si="47"/>
        <v>1</v>
      </c>
      <c r="CH207" s="71">
        <f t="shared" si="48"/>
        <v>0.94164456233421756</v>
      </c>
      <c r="CI207" s="72">
        <f t="shared" si="49"/>
        <v>5500</v>
      </c>
      <c r="CJ207" s="72">
        <f t="shared" si="50"/>
        <v>2600</v>
      </c>
      <c r="CK207" s="70">
        <f t="shared" si="51"/>
        <v>828000</v>
      </c>
      <c r="CL207" s="72">
        <f t="shared" si="52"/>
        <v>1520</v>
      </c>
      <c r="CM207" s="72">
        <f t="shared" si="53"/>
        <v>600</v>
      </c>
      <c r="CN207" s="71">
        <f t="shared" si="54"/>
        <v>3.6184210526315788</v>
      </c>
      <c r="CO207" s="71">
        <f t="shared" si="55"/>
        <v>4.333333333333333</v>
      </c>
      <c r="CP207" s="72">
        <f t="shared" si="56"/>
        <v>0</v>
      </c>
      <c r="CQ207" s="72">
        <f t="shared" si="57"/>
        <v>653.68700265251982</v>
      </c>
      <c r="CR207" s="72">
        <f t="shared" si="58"/>
        <v>0</v>
      </c>
      <c r="CS207" s="70">
        <f t="shared" si="59"/>
        <v>195452.41379310342</v>
      </c>
    </row>
    <row r="208" spans="80:97">
      <c r="CB208" s="63">
        <v>17</v>
      </c>
      <c r="CC208" s="63">
        <f>data!$K38</f>
        <v>36</v>
      </c>
      <c r="CD208" s="63">
        <f>data!$L38</f>
        <v>277</v>
      </c>
      <c r="CE208" s="70">
        <f t="shared" si="45"/>
        <v>2953.8461538461538</v>
      </c>
      <c r="CF208" s="71">
        <f t="shared" si="46"/>
        <v>1</v>
      </c>
      <c r="CG208" s="71">
        <f t="shared" si="47"/>
        <v>1</v>
      </c>
      <c r="CH208" s="71">
        <f t="shared" si="48"/>
        <v>0.86508183674175576</v>
      </c>
      <c r="CI208" s="72">
        <f t="shared" si="49"/>
        <v>5436.363636363636</v>
      </c>
      <c r="CJ208" s="72">
        <f t="shared" si="50"/>
        <v>2566.6727272727271</v>
      </c>
      <c r="CK208" s="70">
        <f t="shared" si="51"/>
        <v>818215.38461538462</v>
      </c>
      <c r="CL208" s="72">
        <f t="shared" si="52"/>
        <v>1550</v>
      </c>
      <c r="CM208" s="72">
        <f t="shared" si="53"/>
        <v>613.63636363636363</v>
      </c>
      <c r="CN208" s="71">
        <f t="shared" si="54"/>
        <v>3.5073313782991202</v>
      </c>
      <c r="CO208" s="71">
        <f t="shared" si="55"/>
        <v>4.1827259259259257</v>
      </c>
      <c r="CP208" s="72">
        <f t="shared" si="56"/>
        <v>0</v>
      </c>
      <c r="CQ208" s="72">
        <f t="shared" si="57"/>
        <v>739.96882559635594</v>
      </c>
      <c r="CR208" s="72">
        <f t="shared" si="58"/>
        <v>0</v>
      </c>
      <c r="CS208" s="70">
        <f t="shared" si="59"/>
        <v>204971.36469019059</v>
      </c>
    </row>
    <row r="209" spans="80:97">
      <c r="CB209" s="63">
        <v>18</v>
      </c>
      <c r="CC209" s="63">
        <f>data!$K39</f>
        <v>37</v>
      </c>
      <c r="CD209" s="63">
        <f>data!$L39</f>
        <v>252</v>
      </c>
      <c r="CE209" s="70">
        <f t="shared" si="45"/>
        <v>3138.4615384615386</v>
      </c>
      <c r="CF209" s="71">
        <f t="shared" si="46"/>
        <v>1</v>
      </c>
      <c r="CG209" s="71">
        <f t="shared" si="47"/>
        <v>1</v>
      </c>
      <c r="CH209" s="71">
        <f t="shared" si="48"/>
        <v>0.78688456760508296</v>
      </c>
      <c r="CI209" s="72">
        <f t="shared" si="49"/>
        <v>5372.727272727273</v>
      </c>
      <c r="CJ209" s="72">
        <f t="shared" si="50"/>
        <v>2533.3454545454547</v>
      </c>
      <c r="CK209" s="70">
        <f t="shared" si="51"/>
        <v>790892.30769230775</v>
      </c>
      <c r="CL209" s="72">
        <f t="shared" si="52"/>
        <v>1580</v>
      </c>
      <c r="CM209" s="72">
        <f t="shared" si="53"/>
        <v>627.27272727272725</v>
      </c>
      <c r="CN209" s="71">
        <f t="shared" si="54"/>
        <v>3.4004602991944766</v>
      </c>
      <c r="CO209" s="71">
        <f t="shared" si="55"/>
        <v>4.0386666666666668</v>
      </c>
      <c r="CP209" s="72">
        <f t="shared" si="56"/>
        <v>0</v>
      </c>
      <c r="CQ209" s="72">
        <f t="shared" si="57"/>
        <v>830.31361195443003</v>
      </c>
      <c r="CR209" s="72">
        <f t="shared" si="58"/>
        <v>0</v>
      </c>
      <c r="CS209" s="70">
        <f t="shared" si="59"/>
        <v>209239.03021251637</v>
      </c>
    </row>
    <row r="210" spans="80:97">
      <c r="CB210" s="63">
        <v>19</v>
      </c>
      <c r="CC210" s="63">
        <f>data!$K40</f>
        <v>38</v>
      </c>
      <c r="CD210" s="63">
        <f>data!$L40</f>
        <v>225</v>
      </c>
      <c r="CE210" s="70">
        <f t="shared" si="45"/>
        <v>3323.0769230769229</v>
      </c>
      <c r="CF210" s="71">
        <f t="shared" si="46"/>
        <v>1</v>
      </c>
      <c r="CG210" s="71">
        <f t="shared" si="47"/>
        <v>1</v>
      </c>
      <c r="CH210" s="71">
        <f t="shared" si="48"/>
        <v>0.70699984615285039</v>
      </c>
      <c r="CI210" s="72">
        <f t="shared" si="49"/>
        <v>5309.090909090909</v>
      </c>
      <c r="CJ210" s="72">
        <f t="shared" si="50"/>
        <v>2500.0181818181818</v>
      </c>
      <c r="CK210" s="70">
        <f t="shared" si="51"/>
        <v>747692.30769230763</v>
      </c>
      <c r="CL210" s="72">
        <f t="shared" si="52"/>
        <v>1610</v>
      </c>
      <c r="CM210" s="72">
        <f t="shared" si="53"/>
        <v>640.90909090909088</v>
      </c>
      <c r="CN210" s="71">
        <f t="shared" si="54"/>
        <v>3.2975719932241669</v>
      </c>
      <c r="CO210" s="71">
        <f t="shared" si="55"/>
        <v>3.9007375886524822</v>
      </c>
      <c r="CP210" s="72">
        <f t="shared" si="56"/>
        <v>0</v>
      </c>
      <c r="CQ210" s="72">
        <f t="shared" si="57"/>
        <v>924.85287636460134</v>
      </c>
      <c r="CR210" s="72">
        <f t="shared" si="58"/>
        <v>0</v>
      </c>
      <c r="CS210" s="70">
        <f t="shared" si="59"/>
        <v>208091.89718203529</v>
      </c>
    </row>
    <row r="211" spans="80:97">
      <c r="CB211" s="63">
        <v>20</v>
      </c>
      <c r="CC211" s="63">
        <f>data!$K41</f>
        <v>39</v>
      </c>
      <c r="CD211" s="63">
        <f>data!$L41</f>
        <v>195</v>
      </c>
      <c r="CE211" s="70">
        <f t="shared" si="45"/>
        <v>3507.6923076923076</v>
      </c>
      <c r="CF211" s="71">
        <f t="shared" si="46"/>
        <v>1</v>
      </c>
      <c r="CG211" s="71">
        <f t="shared" si="47"/>
        <v>1</v>
      </c>
      <c r="CH211" s="71">
        <f t="shared" si="48"/>
        <v>0.62537245522484219</v>
      </c>
      <c r="CI211" s="72">
        <f t="shared" si="49"/>
        <v>5245.454545454545</v>
      </c>
      <c r="CJ211" s="72">
        <f t="shared" si="50"/>
        <v>2466.6909090909094</v>
      </c>
      <c r="CK211" s="70">
        <f t="shared" si="51"/>
        <v>684000</v>
      </c>
      <c r="CL211" s="72">
        <f t="shared" si="52"/>
        <v>1640</v>
      </c>
      <c r="CM211" s="72">
        <f t="shared" si="53"/>
        <v>654.5454545454545</v>
      </c>
      <c r="CN211" s="71">
        <f t="shared" si="54"/>
        <v>3.1984478935698446</v>
      </c>
      <c r="CO211" s="71">
        <f t="shared" si="55"/>
        <v>3.7685555555555563</v>
      </c>
      <c r="CP211" s="72">
        <f t="shared" si="56"/>
        <v>0</v>
      </c>
      <c r="CQ211" s="72">
        <f t="shared" si="57"/>
        <v>1023.72387139661</v>
      </c>
      <c r="CR211" s="72">
        <f t="shared" si="58"/>
        <v>0</v>
      </c>
      <c r="CS211" s="70">
        <f t="shared" si="59"/>
        <v>199626.15492233896</v>
      </c>
    </row>
    <row r="212" spans="80:97">
      <c r="CB212" s="63">
        <v>21</v>
      </c>
      <c r="CC212" s="63">
        <f>data!$K42</f>
        <v>40</v>
      </c>
      <c r="CD212" s="63">
        <f>data!$L42</f>
        <v>165</v>
      </c>
      <c r="CE212" s="70">
        <f t="shared" si="45"/>
        <v>3692.3076923076924</v>
      </c>
      <c r="CF212" s="71">
        <f t="shared" si="46"/>
        <v>1</v>
      </c>
      <c r="CG212" s="71">
        <f t="shared" si="47"/>
        <v>1</v>
      </c>
      <c r="CH212" s="71">
        <f t="shared" si="48"/>
        <v>0.54194474199104903</v>
      </c>
      <c r="CI212" s="72">
        <f t="shared" si="49"/>
        <v>5181.818181818182</v>
      </c>
      <c r="CJ212" s="72">
        <f t="shared" si="50"/>
        <v>2433.3636363636365</v>
      </c>
      <c r="CK212" s="70">
        <f t="shared" si="51"/>
        <v>609230.76923076925</v>
      </c>
      <c r="CL212" s="72">
        <f t="shared" si="52"/>
        <v>1670</v>
      </c>
      <c r="CM212" s="72">
        <f t="shared" si="53"/>
        <v>668.18181818181824</v>
      </c>
      <c r="CN212" s="71">
        <f t="shared" si="54"/>
        <v>3.1028851388132828</v>
      </c>
      <c r="CO212" s="71">
        <f t="shared" si="55"/>
        <v>3.641768707482993</v>
      </c>
      <c r="CP212" s="72">
        <f t="shared" si="56"/>
        <v>0</v>
      </c>
      <c r="CQ212" s="72">
        <f t="shared" si="57"/>
        <v>1127.0699039326037</v>
      </c>
      <c r="CR212" s="72">
        <f t="shared" si="58"/>
        <v>0</v>
      </c>
      <c r="CS212" s="70">
        <f t="shared" si="59"/>
        <v>185966.53414887961</v>
      </c>
    </row>
    <row r="213" spans="80:97">
      <c r="CB213" s="63">
        <v>22</v>
      </c>
      <c r="CC213" s="63">
        <f>data!$K43</f>
        <v>41</v>
      </c>
      <c r="CD213" s="63">
        <f>data!$L43</f>
        <v>133</v>
      </c>
      <c r="CE213" s="70">
        <f t="shared" si="45"/>
        <v>3876.9230769230771</v>
      </c>
      <c r="CF213" s="71">
        <f t="shared" si="46"/>
        <v>1</v>
      </c>
      <c r="CG213" s="71">
        <f t="shared" si="47"/>
        <v>1</v>
      </c>
      <c r="CH213" s="71">
        <f t="shared" si="48"/>
        <v>0.45665648215515092</v>
      </c>
      <c r="CI213" s="72">
        <f t="shared" si="49"/>
        <v>5118.181818181818</v>
      </c>
      <c r="CJ213" s="72">
        <f t="shared" si="50"/>
        <v>2400.0363636363636</v>
      </c>
      <c r="CK213" s="70">
        <f t="shared" si="51"/>
        <v>515630.76923076925</v>
      </c>
      <c r="CL213" s="72">
        <f t="shared" si="52"/>
        <v>1700</v>
      </c>
      <c r="CM213" s="72">
        <f t="shared" si="53"/>
        <v>681.81818181818176</v>
      </c>
      <c r="CN213" s="71">
        <f t="shared" si="54"/>
        <v>3.0106951871657754</v>
      </c>
      <c r="CO213" s="71">
        <f t="shared" si="55"/>
        <v>3.5200533333333337</v>
      </c>
      <c r="CP213" s="72">
        <f t="shared" si="56"/>
        <v>0</v>
      </c>
      <c r="CQ213" s="72">
        <f t="shared" si="57"/>
        <v>1235.0406727147556</v>
      </c>
      <c r="CR213" s="72">
        <f t="shared" si="58"/>
        <v>0</v>
      </c>
      <c r="CS213" s="70">
        <f t="shared" si="59"/>
        <v>164260.40947106251</v>
      </c>
    </row>
    <row r="214" spans="80:97">
      <c r="CB214" s="63">
        <v>23</v>
      </c>
      <c r="CC214" s="63">
        <f>data!$K44</f>
        <v>42</v>
      </c>
      <c r="CD214" s="63">
        <f>data!$L44</f>
        <v>103</v>
      </c>
      <c r="CE214" s="70">
        <f t="shared" si="45"/>
        <v>4061.5384615384614</v>
      </c>
      <c r="CF214" s="71">
        <f t="shared" si="46"/>
        <v>1</v>
      </c>
      <c r="CG214" s="71">
        <f t="shared" si="47"/>
        <v>1</v>
      </c>
      <c r="CH214" s="71">
        <f t="shared" si="48"/>
        <v>0.36944473497023383</v>
      </c>
      <c r="CI214" s="72">
        <f t="shared" si="49"/>
        <v>5054.545454545455</v>
      </c>
      <c r="CJ214" s="72">
        <f t="shared" si="50"/>
        <v>2366.7090909090912</v>
      </c>
      <c r="CK214" s="70">
        <f t="shared" si="51"/>
        <v>418338.4615384615</v>
      </c>
      <c r="CL214" s="72">
        <f t="shared" si="52"/>
        <v>1730</v>
      </c>
      <c r="CM214" s="72">
        <f t="shared" si="53"/>
        <v>695.4545454545455</v>
      </c>
      <c r="CN214" s="71">
        <f t="shared" si="54"/>
        <v>2.921702574881766</v>
      </c>
      <c r="CO214" s="71">
        <f t="shared" si="55"/>
        <v>3.4031111111111114</v>
      </c>
      <c r="CP214" s="72">
        <f t="shared" si="56"/>
        <v>0</v>
      </c>
      <c r="CQ214" s="72">
        <f t="shared" si="57"/>
        <v>1347.7926287307944</v>
      </c>
      <c r="CR214" s="72">
        <f t="shared" si="58"/>
        <v>0</v>
      </c>
      <c r="CS214" s="70">
        <f t="shared" si="59"/>
        <v>138822.64075927183</v>
      </c>
    </row>
    <row r="215" spans="80:97">
      <c r="CB215" s="63">
        <v>24</v>
      </c>
      <c r="CC215" s="63">
        <f>data!$K45</f>
        <v>43</v>
      </c>
      <c r="CD215" s="63">
        <f>data!$L45</f>
        <v>73</v>
      </c>
      <c r="CE215" s="70">
        <f t="shared" si="45"/>
        <v>4246.1538461538457</v>
      </c>
      <c r="CF215" s="71">
        <f t="shared" si="46"/>
        <v>1</v>
      </c>
      <c r="CG215" s="71">
        <f t="shared" si="47"/>
        <v>1</v>
      </c>
      <c r="CH215" s="71">
        <f t="shared" si="48"/>
        <v>0.28024368833323177</v>
      </c>
      <c r="CI215" s="72">
        <f t="shared" si="49"/>
        <v>4990.909090909091</v>
      </c>
      <c r="CJ215" s="72">
        <f t="shared" si="50"/>
        <v>2333.3818181818183</v>
      </c>
      <c r="CK215" s="70">
        <f t="shared" si="51"/>
        <v>309969.23076923075</v>
      </c>
      <c r="CL215" s="72">
        <f t="shared" si="52"/>
        <v>1760</v>
      </c>
      <c r="CM215" s="72">
        <f t="shared" si="53"/>
        <v>709.09090909090912</v>
      </c>
      <c r="CN215" s="71">
        <f t="shared" si="54"/>
        <v>2.8357438016528924</v>
      </c>
      <c r="CO215" s="71">
        <f t="shared" si="55"/>
        <v>3.2906666666666666</v>
      </c>
      <c r="CP215" s="72">
        <f t="shared" si="56"/>
        <v>0</v>
      </c>
      <c r="CQ215" s="72">
        <f t="shared" si="57"/>
        <v>1465.4893602607126</v>
      </c>
      <c r="CR215" s="72">
        <f t="shared" si="58"/>
        <v>0</v>
      </c>
      <c r="CS215" s="70">
        <f t="shared" si="59"/>
        <v>106980.72329903202</v>
      </c>
    </row>
    <row r="216" spans="80:97">
      <c r="CB216" s="63">
        <v>25</v>
      </c>
      <c r="CC216" s="63">
        <f>data!$K46</f>
        <v>44</v>
      </c>
      <c r="CD216" s="63">
        <f>data!$L46</f>
        <v>47</v>
      </c>
      <c r="CE216" s="70">
        <f t="shared" si="45"/>
        <v>4430.7692307692305</v>
      </c>
      <c r="CF216" s="71">
        <f t="shared" si="46"/>
        <v>1</v>
      </c>
      <c r="CG216" s="71">
        <f t="shared" si="47"/>
        <v>1</v>
      </c>
      <c r="CH216" s="71">
        <f t="shared" si="48"/>
        <v>0.18898449315689814</v>
      </c>
      <c r="CI216" s="72">
        <f t="shared" si="49"/>
        <v>4927.272727272727</v>
      </c>
      <c r="CJ216" s="72">
        <f t="shared" si="50"/>
        <v>2300.0545454545454</v>
      </c>
      <c r="CK216" s="70">
        <f t="shared" si="51"/>
        <v>208246.15384615384</v>
      </c>
      <c r="CL216" s="72">
        <f t="shared" si="52"/>
        <v>1790</v>
      </c>
      <c r="CM216" s="72">
        <f t="shared" si="53"/>
        <v>722.72727272727275</v>
      </c>
      <c r="CN216" s="71">
        <f t="shared" si="54"/>
        <v>2.7526663280853225</v>
      </c>
      <c r="CO216" s="71">
        <f t="shared" si="55"/>
        <v>3.1824654088050313</v>
      </c>
      <c r="CP216" s="72">
        <f t="shared" si="56"/>
        <v>0</v>
      </c>
      <c r="CQ216" s="72">
        <f t="shared" si="57"/>
        <v>1588.3020045761832</v>
      </c>
      <c r="CR216" s="72">
        <f t="shared" si="58"/>
        <v>0</v>
      </c>
      <c r="CS216" s="70">
        <f t="shared" si="59"/>
        <v>74650.194215080614</v>
      </c>
    </row>
    <row r="217" spans="80:97">
      <c r="CB217" s="63">
        <v>26</v>
      </c>
      <c r="CC217" s="63">
        <f>data!$K47</f>
        <v>45</v>
      </c>
      <c r="CD217" s="63">
        <f>data!$L47</f>
        <v>24</v>
      </c>
      <c r="CE217" s="70">
        <f t="shared" si="45"/>
        <v>4615.3846153846152</v>
      </c>
      <c r="CF217" s="71">
        <f t="shared" si="46"/>
        <v>1</v>
      </c>
      <c r="CG217" s="71">
        <f t="shared" si="47"/>
        <v>1</v>
      </c>
      <c r="CH217" s="71">
        <f t="shared" si="48"/>
        <v>9.5595086143290486E-2</v>
      </c>
      <c r="CI217" s="72">
        <f t="shared" si="49"/>
        <v>4863.636363636364</v>
      </c>
      <c r="CJ217" s="72">
        <f t="shared" si="50"/>
        <v>2266.727272727273</v>
      </c>
      <c r="CK217" s="70">
        <f t="shared" si="51"/>
        <v>110769.23076923077</v>
      </c>
      <c r="CL217" s="72">
        <f t="shared" si="52"/>
        <v>1820</v>
      </c>
      <c r="CM217" s="72">
        <f t="shared" si="53"/>
        <v>736.36363636363637</v>
      </c>
      <c r="CN217" s="71">
        <f t="shared" si="54"/>
        <v>2.6723276723276723</v>
      </c>
      <c r="CO217" s="71">
        <f t="shared" si="55"/>
        <v>3.0782716049382719</v>
      </c>
      <c r="CP217" s="72">
        <f t="shared" si="56"/>
        <v>0</v>
      </c>
      <c r="CQ217" s="72">
        <f t="shared" si="57"/>
        <v>1716.4096884701796</v>
      </c>
      <c r="CR217" s="72">
        <f t="shared" si="58"/>
        <v>0</v>
      </c>
      <c r="CS217" s="70">
        <f t="shared" si="59"/>
        <v>41193.832523284313</v>
      </c>
    </row>
    <row r="218" spans="80:97">
      <c r="CB218" s="63">
        <v>27</v>
      </c>
      <c r="CC218" s="63">
        <f>data!$K48</f>
        <v>46</v>
      </c>
      <c r="CD218" s="63">
        <f>data!$L48</f>
        <v>6</v>
      </c>
      <c r="CE218" s="70">
        <f t="shared" si="45"/>
        <v>4800</v>
      </c>
      <c r="CF218" s="71">
        <f t="shared" si="46"/>
        <v>1</v>
      </c>
      <c r="CG218" s="71">
        <f t="shared" si="47"/>
        <v>1</v>
      </c>
      <c r="CH218" s="71">
        <f t="shared" si="48"/>
        <v>0</v>
      </c>
      <c r="CI218" s="72">
        <f t="shared" si="49"/>
        <v>4800</v>
      </c>
      <c r="CJ218" s="72">
        <f t="shared" si="50"/>
        <v>2233.4</v>
      </c>
      <c r="CK218" s="70">
        <f t="shared" si="51"/>
        <v>28800</v>
      </c>
      <c r="CL218" s="72">
        <f t="shared" si="52"/>
        <v>1850</v>
      </c>
      <c r="CM218" s="72">
        <f t="shared" si="53"/>
        <v>750</v>
      </c>
      <c r="CN218" s="71">
        <f t="shared" si="54"/>
        <v>2.5945945945945947</v>
      </c>
      <c r="CO218" s="71">
        <f t="shared" si="55"/>
        <v>2.9778666666666669</v>
      </c>
      <c r="CP218" s="72">
        <f t="shared" si="56"/>
        <v>0</v>
      </c>
      <c r="CQ218" s="72">
        <f t="shared" si="57"/>
        <v>1850</v>
      </c>
      <c r="CR218" s="72">
        <f t="shared" si="58"/>
        <v>0</v>
      </c>
      <c r="CS218" s="70">
        <f t="shared" si="59"/>
        <v>11100</v>
      </c>
    </row>
    <row r="219" spans="80:97">
      <c r="CB219" s="63">
        <v>28</v>
      </c>
      <c r="CC219" s="63">
        <f>data!$K49</f>
        <v>47</v>
      </c>
      <c r="CD219" s="63">
        <f>data!$L49</f>
        <v>0</v>
      </c>
      <c r="CE219" s="70">
        <f t="shared" si="45"/>
        <v>4984.6153846153848</v>
      </c>
      <c r="CF219" s="71">
        <f t="shared" si="46"/>
        <v>1</v>
      </c>
      <c r="CG219" s="71">
        <f t="shared" si="47"/>
        <v>1</v>
      </c>
      <c r="CH219" s="71">
        <f t="shared" si="48"/>
        <v>0</v>
      </c>
      <c r="CI219" s="72">
        <f t="shared" si="49"/>
        <v>4736.363636363636</v>
      </c>
      <c r="CJ219" s="72">
        <f t="shared" si="50"/>
        <v>2200.0727272727272</v>
      </c>
      <c r="CK219" s="70">
        <f t="shared" si="51"/>
        <v>0</v>
      </c>
      <c r="CL219" s="72">
        <f t="shared" si="52"/>
        <v>1880</v>
      </c>
      <c r="CM219" s="72">
        <f t="shared" si="53"/>
        <v>763.63636363636363</v>
      </c>
      <c r="CN219" s="71">
        <f t="shared" si="54"/>
        <v>2.5193423597678914</v>
      </c>
      <c r="CO219" s="71">
        <f t="shared" si="55"/>
        <v>2.8810476190476191</v>
      </c>
      <c r="CP219" s="72">
        <f t="shared" si="56"/>
        <v>0</v>
      </c>
      <c r="CQ219" s="72">
        <f t="shared" si="57"/>
        <v>0</v>
      </c>
      <c r="CR219" s="72">
        <f t="shared" si="58"/>
        <v>1880</v>
      </c>
      <c r="CS219" s="70">
        <f t="shared" si="59"/>
        <v>0</v>
      </c>
    </row>
    <row r="220" spans="80:97">
      <c r="CB220" s="63">
        <v>29</v>
      </c>
      <c r="CC220" s="63">
        <f>data!$K50</f>
        <v>48</v>
      </c>
      <c r="CD220" s="63">
        <f>data!$L50</f>
        <v>0</v>
      </c>
      <c r="CE220" s="70">
        <f t="shared" si="45"/>
        <v>5169.2307692307695</v>
      </c>
      <c r="CF220" s="71">
        <f t="shared" si="46"/>
        <v>1</v>
      </c>
      <c r="CG220" s="71">
        <f t="shared" si="47"/>
        <v>1</v>
      </c>
      <c r="CH220" s="71">
        <f t="shared" si="48"/>
        <v>0</v>
      </c>
      <c r="CI220" s="72">
        <f t="shared" si="49"/>
        <v>4672.727272727273</v>
      </c>
      <c r="CJ220" s="72">
        <f t="shared" si="50"/>
        <v>2166.7454545454548</v>
      </c>
      <c r="CK220" s="70">
        <f t="shared" si="51"/>
        <v>0</v>
      </c>
      <c r="CL220" s="72">
        <f t="shared" si="52"/>
        <v>1910</v>
      </c>
      <c r="CM220" s="72">
        <f t="shared" si="53"/>
        <v>777.27272727272725</v>
      </c>
      <c r="CN220" s="71">
        <f t="shared" si="54"/>
        <v>2.4464540694907186</v>
      </c>
      <c r="CO220" s="71">
        <f t="shared" si="55"/>
        <v>2.7876257309941526</v>
      </c>
      <c r="CP220" s="72">
        <f t="shared" si="56"/>
        <v>0</v>
      </c>
      <c r="CQ220" s="72">
        <f t="shared" si="57"/>
        <v>0</v>
      </c>
      <c r="CR220" s="72">
        <f t="shared" si="58"/>
        <v>1910</v>
      </c>
      <c r="CS220" s="70">
        <f t="shared" si="59"/>
        <v>0</v>
      </c>
    </row>
    <row r="221" spans="80:97">
      <c r="CB221" s="63">
        <v>30</v>
      </c>
      <c r="CC221" s="63">
        <f>data!$K51</f>
        <v>49</v>
      </c>
      <c r="CD221" s="63">
        <f>data!$L51</f>
        <v>0</v>
      </c>
      <c r="CE221" s="70">
        <f t="shared" si="45"/>
        <v>5353.8461538461543</v>
      </c>
      <c r="CF221" s="71">
        <f t="shared" si="46"/>
        <v>1</v>
      </c>
      <c r="CG221" s="71">
        <f t="shared" si="47"/>
        <v>1</v>
      </c>
      <c r="CH221" s="71">
        <f t="shared" si="48"/>
        <v>0</v>
      </c>
      <c r="CI221" s="72">
        <f t="shared" si="49"/>
        <v>4609.090909090909</v>
      </c>
      <c r="CJ221" s="72">
        <f t="shared" si="50"/>
        <v>2133.4181818181819</v>
      </c>
      <c r="CK221" s="70">
        <f t="shared" si="51"/>
        <v>0</v>
      </c>
      <c r="CL221" s="72">
        <f t="shared" si="52"/>
        <v>1940</v>
      </c>
      <c r="CM221" s="72">
        <f t="shared" si="53"/>
        <v>790.90909090909088</v>
      </c>
      <c r="CN221" s="71">
        <f t="shared" si="54"/>
        <v>2.3758200562324272</v>
      </c>
      <c r="CO221" s="71">
        <f t="shared" si="55"/>
        <v>2.6974252873563223</v>
      </c>
      <c r="CP221" s="72">
        <f t="shared" si="56"/>
        <v>0</v>
      </c>
      <c r="CQ221" s="72">
        <f t="shared" si="57"/>
        <v>0</v>
      </c>
      <c r="CR221" s="72">
        <f t="shared" si="58"/>
        <v>1940</v>
      </c>
      <c r="CS221" s="70">
        <f t="shared" si="59"/>
        <v>0</v>
      </c>
    </row>
    <row r="222" spans="80:97">
      <c r="CB222" s="63">
        <v>31</v>
      </c>
      <c r="CC222" s="63">
        <f>data!$K52</f>
        <v>50</v>
      </c>
      <c r="CD222" s="63">
        <f>data!$L52</f>
        <v>0</v>
      </c>
      <c r="CE222" s="70">
        <f t="shared" si="45"/>
        <v>5538.4615384615381</v>
      </c>
      <c r="CF222" s="71">
        <f t="shared" si="46"/>
        <v>1</v>
      </c>
      <c r="CG222" s="71">
        <f t="shared" si="47"/>
        <v>1</v>
      </c>
      <c r="CH222" s="71">
        <f t="shared" si="48"/>
        <v>0</v>
      </c>
      <c r="CI222" s="72">
        <f t="shared" si="49"/>
        <v>4545.454545454545</v>
      </c>
      <c r="CJ222" s="72">
        <f t="shared" si="50"/>
        <v>2100.090909090909</v>
      </c>
      <c r="CK222" s="70">
        <f t="shared" si="51"/>
        <v>0</v>
      </c>
      <c r="CL222" s="72">
        <f t="shared" si="52"/>
        <v>1970</v>
      </c>
      <c r="CM222" s="72">
        <f t="shared" si="53"/>
        <v>804.5454545454545</v>
      </c>
      <c r="CN222" s="71">
        <f t="shared" si="54"/>
        <v>2.3073373327180433</v>
      </c>
      <c r="CO222" s="71">
        <f t="shared" si="55"/>
        <v>2.6102824858757061</v>
      </c>
      <c r="CP222" s="72">
        <f t="shared" si="56"/>
        <v>0</v>
      </c>
      <c r="CQ222" s="72">
        <f t="shared" si="57"/>
        <v>0</v>
      </c>
      <c r="CR222" s="72">
        <f t="shared" si="58"/>
        <v>1970</v>
      </c>
      <c r="CS222" s="70">
        <f t="shared" si="59"/>
        <v>0</v>
      </c>
    </row>
    <row r="223" spans="80:97">
      <c r="CB223" s="63"/>
      <c r="CC223" s="63"/>
      <c r="CD223" s="63">
        <f>SUM(CD192:CD222)</f>
        <v>6493</v>
      </c>
      <c r="CE223" s="63"/>
      <c r="CF223" s="63"/>
      <c r="CG223" s="63"/>
      <c r="CH223" s="63"/>
      <c r="CI223" s="63"/>
      <c r="CK223" s="62">
        <f>SUM(CK192:CK222)</f>
        <v>12655753.846153848</v>
      </c>
      <c r="CM223" s="44"/>
      <c r="CN223" s="44"/>
      <c r="CO223" s="44"/>
      <c r="CP223" s="68"/>
      <c r="CQ223" s="68"/>
      <c r="CS223" s="77">
        <f>SUM(CS192:CS222)</f>
        <v>3193533.8005707809</v>
      </c>
    </row>
  </sheetData>
  <sheetProtection algorithmName="SHA-512" hashValue="7Ng7JtDZq2fdtyTWP890J7mupeEnBx7EejZXypQsD95WgU3IopRvf0RUl7q7Gzu38hIJEWvZtnIm8yjA5c2Ynw==" saltValue="PZcq+y6GiR/bITLuqhwvfw==" spinCount="100000" sheet="1" objects="1" scenarios="1"/>
  <dataConsolidate/>
  <mergeCells count="205">
    <mergeCell ref="U12:X12"/>
    <mergeCell ref="U38:X38"/>
    <mergeCell ref="U36:X36"/>
    <mergeCell ref="U35:X35"/>
    <mergeCell ref="U34:X34"/>
    <mergeCell ref="D45:G45"/>
    <mergeCell ref="H44:K44"/>
    <mergeCell ref="H45:K45"/>
    <mergeCell ref="L45:O45"/>
    <mergeCell ref="L44:O44"/>
    <mergeCell ref="L43:O43"/>
    <mergeCell ref="L40:O40"/>
    <mergeCell ref="L39:O39"/>
    <mergeCell ref="L38:O38"/>
    <mergeCell ref="H43:K43"/>
    <mergeCell ref="H40:K40"/>
    <mergeCell ref="D14:G14"/>
    <mergeCell ref="H14:K14"/>
    <mergeCell ref="L14:O14"/>
    <mergeCell ref="D40:G40"/>
    <mergeCell ref="D44:G44"/>
    <mergeCell ref="L20:O20"/>
    <mergeCell ref="L19:O19"/>
    <mergeCell ref="L18:O18"/>
    <mergeCell ref="AK37:AP37"/>
    <mergeCell ref="D35:G35"/>
    <mergeCell ref="D39:G39"/>
    <mergeCell ref="P39:Q39"/>
    <mergeCell ref="P38:Q38"/>
    <mergeCell ref="Y38:AB38"/>
    <mergeCell ref="AC38:AF38"/>
    <mergeCell ref="AK39:AP39"/>
    <mergeCell ref="D34:G34"/>
    <mergeCell ref="H35:K35"/>
    <mergeCell ref="AC36:AF36"/>
    <mergeCell ref="P34:Q34"/>
    <mergeCell ref="Y35:AB35"/>
    <mergeCell ref="AC35:AF35"/>
    <mergeCell ref="AC34:AF34"/>
    <mergeCell ref="Y34:AB34"/>
    <mergeCell ref="AK34:AP34"/>
    <mergeCell ref="AK36:AP36"/>
    <mergeCell ref="H38:K38"/>
    <mergeCell ref="H39:K39"/>
    <mergeCell ref="AC33:AF33"/>
    <mergeCell ref="P45:Q45"/>
    <mergeCell ref="P40:Q40"/>
    <mergeCell ref="P43:Q43"/>
    <mergeCell ref="P44:Q44"/>
    <mergeCell ref="U16:X16"/>
    <mergeCell ref="U14:X14"/>
    <mergeCell ref="U13:X13"/>
    <mergeCell ref="P14:Q14"/>
    <mergeCell ref="Y14:AB14"/>
    <mergeCell ref="P19:Q19"/>
    <mergeCell ref="AC14:AF14"/>
    <mergeCell ref="H20:K20"/>
    <mergeCell ref="H19:K19"/>
    <mergeCell ref="H18:K18"/>
    <mergeCell ref="H29:K29"/>
    <mergeCell ref="H30:K30"/>
    <mergeCell ref="P35:Q35"/>
    <mergeCell ref="H34:K34"/>
    <mergeCell ref="L34:O34"/>
    <mergeCell ref="L35:O35"/>
    <mergeCell ref="H33:K33"/>
    <mergeCell ref="L30:O30"/>
    <mergeCell ref="L33:O33"/>
    <mergeCell ref="P33:Q33"/>
    <mergeCell ref="Y12:AB12"/>
    <mergeCell ref="P13:Q13"/>
    <mergeCell ref="H13:K13"/>
    <mergeCell ref="P8:Q8"/>
    <mergeCell ref="P10:Q10"/>
    <mergeCell ref="AK40:AP40"/>
    <mergeCell ref="AK43:AP43"/>
    <mergeCell ref="AK44:AP44"/>
    <mergeCell ref="AK33:AP33"/>
    <mergeCell ref="Y36:AB36"/>
    <mergeCell ref="AK12:AP12"/>
    <mergeCell ref="AK13:AP13"/>
    <mergeCell ref="AK15:AP15"/>
    <mergeCell ref="AK16:AP16"/>
    <mergeCell ref="AK19:AP19"/>
    <mergeCell ref="AK20:AP20"/>
    <mergeCell ref="AK28:AP28"/>
    <mergeCell ref="AK30:AP30"/>
    <mergeCell ref="AK31:AP31"/>
    <mergeCell ref="Y13:AB13"/>
    <mergeCell ref="L13:O13"/>
    <mergeCell ref="Y33:AB33"/>
    <mergeCell ref="AC16:AF16"/>
    <mergeCell ref="P9:Q9"/>
    <mergeCell ref="L10:O10"/>
    <mergeCell ref="L9:O9"/>
    <mergeCell ref="L8:O8"/>
    <mergeCell ref="H10:K10"/>
    <mergeCell ref="H9:K9"/>
    <mergeCell ref="H8:K8"/>
    <mergeCell ref="D10:G10"/>
    <mergeCell ref="AK7:AP7"/>
    <mergeCell ref="AK9:AP9"/>
    <mergeCell ref="AK10:AP10"/>
    <mergeCell ref="A2:BD2"/>
    <mergeCell ref="A1:BD1"/>
    <mergeCell ref="D29:G29"/>
    <mergeCell ref="P29:Q29"/>
    <mergeCell ref="P30:Q30"/>
    <mergeCell ref="L29:O29"/>
    <mergeCell ref="P20:Q20"/>
    <mergeCell ref="P18:Q18"/>
    <mergeCell ref="L15:O15"/>
    <mergeCell ref="H15:K15"/>
    <mergeCell ref="D15:G15"/>
    <mergeCell ref="P15:Q15"/>
    <mergeCell ref="Y16:AB16"/>
    <mergeCell ref="H28:K28"/>
    <mergeCell ref="L28:O28"/>
    <mergeCell ref="D19:G19"/>
    <mergeCell ref="D20:G20"/>
    <mergeCell ref="P28:Q28"/>
    <mergeCell ref="D30:G30"/>
    <mergeCell ref="Y11:AB11"/>
    <mergeCell ref="AC11:AF11"/>
    <mergeCell ref="AC12:AF12"/>
    <mergeCell ref="AC13:AF13"/>
    <mergeCell ref="D9:G9"/>
    <mergeCell ref="AQ9:BB9"/>
    <mergeCell ref="AQ10:BB10"/>
    <mergeCell ref="AQ12:BB12"/>
    <mergeCell ref="AQ15:BB15"/>
    <mergeCell ref="AQ16:BB16"/>
    <mergeCell ref="AR13:AV13"/>
    <mergeCell ref="AX13:BB13"/>
    <mergeCell ref="AR19:AV20"/>
    <mergeCell ref="AX19:BB20"/>
    <mergeCell ref="CS16:CS17"/>
    <mergeCell ref="CG15:CH15"/>
    <mergeCell ref="CI15:CJ15"/>
    <mergeCell ref="CP15:CR15"/>
    <mergeCell ref="CN15:CO15"/>
    <mergeCell ref="CL15:CM15"/>
    <mergeCell ref="CK16:CK17"/>
    <mergeCell ref="AR43:AV44"/>
    <mergeCell ref="AX43:BB44"/>
    <mergeCell ref="AQ30:BB30"/>
    <mergeCell ref="AQ31:BB31"/>
    <mergeCell ref="AQ33:BB33"/>
    <mergeCell ref="AQ36:BB36"/>
    <mergeCell ref="AQ37:BB37"/>
    <mergeCell ref="AR34:AV34"/>
    <mergeCell ref="AX34:BB34"/>
    <mergeCell ref="AR39:AV39"/>
    <mergeCell ref="AX39:BB39"/>
    <mergeCell ref="AR40:AV40"/>
    <mergeCell ref="AX40:BB40"/>
    <mergeCell ref="CF75:CF76"/>
    <mergeCell ref="CG75:CG76"/>
    <mergeCell ref="CH75:CH76"/>
    <mergeCell ref="CK75:CK76"/>
    <mergeCell ref="CK9:CL9"/>
    <mergeCell ref="CC15:CC16"/>
    <mergeCell ref="CD15:CD16"/>
    <mergeCell ref="CB15:CB16"/>
    <mergeCell ref="CH16:CH17"/>
    <mergeCell ref="CG16:CG17"/>
    <mergeCell ref="CF16:CF17"/>
    <mergeCell ref="CS75:CS76"/>
    <mergeCell ref="CK68:CL68"/>
    <mergeCell ref="CL74:CM74"/>
    <mergeCell ref="CN74:CO74"/>
    <mergeCell ref="CP74:CR74"/>
    <mergeCell ref="CB129:CB130"/>
    <mergeCell ref="CC129:CC130"/>
    <mergeCell ref="CD129:CD130"/>
    <mergeCell ref="CH130:CH131"/>
    <mergeCell ref="CF130:CF131"/>
    <mergeCell ref="CK118:CL118"/>
    <mergeCell ref="CK130:CK131"/>
    <mergeCell ref="CS130:CS131"/>
    <mergeCell ref="CG129:CH129"/>
    <mergeCell ref="CI129:CJ129"/>
    <mergeCell ref="CL129:CM129"/>
    <mergeCell ref="CN129:CO129"/>
    <mergeCell ref="CP129:CR129"/>
    <mergeCell ref="CG130:CG131"/>
    <mergeCell ref="CB74:CB75"/>
    <mergeCell ref="CC74:CC75"/>
    <mergeCell ref="CD74:CD75"/>
    <mergeCell ref="CG74:CH74"/>
    <mergeCell ref="CI74:CJ74"/>
    <mergeCell ref="CS190:CS191"/>
    <mergeCell ref="CK178:CL178"/>
    <mergeCell ref="CL189:CM189"/>
    <mergeCell ref="CN189:CO189"/>
    <mergeCell ref="CP189:CR189"/>
    <mergeCell ref="CB189:CB190"/>
    <mergeCell ref="CC189:CC190"/>
    <mergeCell ref="CD189:CD190"/>
    <mergeCell ref="CG189:CH189"/>
    <mergeCell ref="CI189:CJ189"/>
    <mergeCell ref="CF190:CF191"/>
    <mergeCell ref="CG190:CG191"/>
    <mergeCell ref="CH190:CH191"/>
    <mergeCell ref="CK190:CK191"/>
  </mergeCells>
  <phoneticPr fontId="3"/>
  <conditionalFormatting sqref="AQ13:BB13 AQ19:BB20 H10:Q10 H19:Q20">
    <cfRule type="expression" dxfId="33" priority="15">
      <formula>$BD$7="Required test"</formula>
    </cfRule>
  </conditionalFormatting>
  <conditionalFormatting sqref="H10:Q10">
    <cfRule type="expression" dxfId="32" priority="6">
      <formula>$BC$13=1</formula>
    </cfRule>
    <cfRule type="expression" dxfId="31" priority="14">
      <formula>$BD$13="Default"</formula>
    </cfRule>
  </conditionalFormatting>
  <conditionalFormatting sqref="H19:Q20">
    <cfRule type="expression" dxfId="30" priority="5">
      <formula>$BC$19=1</formula>
    </cfRule>
    <cfRule type="expression" dxfId="29" priority="13">
      <formula>$BD$19="Default"</formula>
    </cfRule>
  </conditionalFormatting>
  <conditionalFormatting sqref="AQ34:BB34 AR39:BB40 AQ43:BB44 H30:Q30 H39:Q40 H44:Q45">
    <cfRule type="expression" dxfId="28" priority="12">
      <formula>$BD$28="Required test"</formula>
    </cfRule>
  </conditionalFormatting>
  <conditionalFormatting sqref="H30:Q30">
    <cfRule type="expression" dxfId="27" priority="4">
      <formula>$BC$34=1</formula>
    </cfRule>
    <cfRule type="expression" dxfId="26" priority="11">
      <formula>$BD$34="Default"</formula>
    </cfRule>
  </conditionalFormatting>
  <conditionalFormatting sqref="H39:Q39">
    <cfRule type="expression" dxfId="25" priority="3">
      <formula>$BC$39=1</formula>
    </cfRule>
    <cfRule type="expression" dxfId="24" priority="10">
      <formula>$BD$39="Default"</formula>
    </cfRule>
  </conditionalFormatting>
  <conditionalFormatting sqref="H40:Q40">
    <cfRule type="expression" dxfId="23" priority="2">
      <formula>$BC$40=1</formula>
    </cfRule>
    <cfRule type="expression" dxfId="22" priority="9">
      <formula>$BD$40="Default"</formula>
    </cfRule>
  </conditionalFormatting>
  <conditionalFormatting sqref="H44:Q45">
    <cfRule type="expression" dxfId="21" priority="1">
      <formula>$BC$43=1</formula>
    </cfRule>
    <cfRule type="expression" dxfId="20" priority="8">
      <formula>$BD$43="Default"</formula>
    </cfRule>
  </conditionalFormatting>
  <conditionalFormatting sqref="AQ39:AQ40">
    <cfRule type="expression" dxfId="19" priority="7">
      <formula>$BD$28="Required test"</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6" r:id="rId4" name="Option Button 34">
              <controlPr defaultSize="0" autoFill="0" autoLine="0" autoPict="0" macro="[0]!Two_Stage">
                <anchor moveWithCells="1">
                  <from>
                    <xdr:col>42</xdr:col>
                    <xdr:colOff>9525</xdr:colOff>
                    <xdr:row>5</xdr:row>
                    <xdr:rowOff>104775</xdr:rowOff>
                  </from>
                  <to>
                    <xdr:col>46</xdr:col>
                    <xdr:colOff>0</xdr:colOff>
                    <xdr:row>7</xdr:row>
                    <xdr:rowOff>57150</xdr:rowOff>
                  </to>
                </anchor>
              </controlPr>
            </control>
          </mc:Choice>
        </mc:AlternateContent>
        <mc:AlternateContent xmlns:mc="http://schemas.openxmlformats.org/markup-compatibility/2006">
          <mc:Choice Requires="x14">
            <control shapeId="3107" r:id="rId5" name="Option Button 35">
              <controlPr defaultSize="0" autoFill="0" autoLine="0" autoPict="0" macro="[0]!Two_Stage">
                <anchor moveWithCells="1">
                  <from>
                    <xdr:col>48</xdr:col>
                    <xdr:colOff>9525</xdr:colOff>
                    <xdr:row>5</xdr:row>
                    <xdr:rowOff>114300</xdr:rowOff>
                  </from>
                  <to>
                    <xdr:col>52</xdr:col>
                    <xdr:colOff>0</xdr:colOff>
                    <xdr:row>7</xdr:row>
                    <xdr:rowOff>38100</xdr:rowOff>
                  </to>
                </anchor>
              </controlPr>
            </control>
          </mc:Choice>
        </mc:AlternateContent>
        <mc:AlternateContent xmlns:mc="http://schemas.openxmlformats.org/markup-compatibility/2006">
          <mc:Choice Requires="x14">
            <control shapeId="3109" r:id="rId6" name="Group Box 37">
              <controlPr defaultSize="0" autoFill="0" autoPict="0">
                <anchor moveWithCells="1">
                  <from>
                    <xdr:col>41</xdr:col>
                    <xdr:colOff>133350</xdr:colOff>
                    <xdr:row>5</xdr:row>
                    <xdr:rowOff>28575</xdr:rowOff>
                  </from>
                  <to>
                    <xdr:col>54</xdr:col>
                    <xdr:colOff>171450</xdr:colOff>
                    <xdr:row>7</xdr:row>
                    <xdr:rowOff>114300</xdr:rowOff>
                  </to>
                </anchor>
              </controlPr>
            </control>
          </mc:Choice>
        </mc:AlternateContent>
        <mc:AlternateContent xmlns:mc="http://schemas.openxmlformats.org/markup-compatibility/2006">
          <mc:Choice Requires="x14">
            <control shapeId="3110" r:id="rId7" name="Option Button 38">
              <controlPr defaultSize="0" autoFill="0" autoLine="0" autoPict="0">
                <anchor moveWithCells="1">
                  <from>
                    <xdr:col>42</xdr:col>
                    <xdr:colOff>9525</xdr:colOff>
                    <xdr:row>11</xdr:row>
                    <xdr:rowOff>95250</xdr:rowOff>
                  </from>
                  <to>
                    <xdr:col>46</xdr:col>
                    <xdr:colOff>0</xdr:colOff>
                    <xdr:row>13</xdr:row>
                    <xdr:rowOff>38100</xdr:rowOff>
                  </to>
                </anchor>
              </controlPr>
            </control>
          </mc:Choice>
        </mc:AlternateContent>
        <mc:AlternateContent xmlns:mc="http://schemas.openxmlformats.org/markup-compatibility/2006">
          <mc:Choice Requires="x14">
            <control shapeId="3111" r:id="rId8" name="Option Button 39">
              <controlPr defaultSize="0" autoFill="0" autoLine="0" autoPict="0">
                <anchor moveWithCells="1">
                  <from>
                    <xdr:col>48</xdr:col>
                    <xdr:colOff>9525</xdr:colOff>
                    <xdr:row>11</xdr:row>
                    <xdr:rowOff>95250</xdr:rowOff>
                  </from>
                  <to>
                    <xdr:col>52</xdr:col>
                    <xdr:colOff>0</xdr:colOff>
                    <xdr:row>13</xdr:row>
                    <xdr:rowOff>38100</xdr:rowOff>
                  </to>
                </anchor>
              </controlPr>
            </control>
          </mc:Choice>
        </mc:AlternateContent>
        <mc:AlternateContent xmlns:mc="http://schemas.openxmlformats.org/markup-compatibility/2006">
          <mc:Choice Requires="x14">
            <control shapeId="3112" r:id="rId9" name="Group Box 40">
              <controlPr defaultSize="0" autoFill="0" autoPict="0">
                <anchor moveWithCells="1">
                  <from>
                    <xdr:col>41</xdr:col>
                    <xdr:colOff>123825</xdr:colOff>
                    <xdr:row>11</xdr:row>
                    <xdr:rowOff>28575</xdr:rowOff>
                  </from>
                  <to>
                    <xdr:col>55</xdr:col>
                    <xdr:colOff>95250</xdr:colOff>
                    <xdr:row>13</xdr:row>
                    <xdr:rowOff>95250</xdr:rowOff>
                  </to>
                </anchor>
              </controlPr>
            </control>
          </mc:Choice>
        </mc:AlternateContent>
        <mc:AlternateContent xmlns:mc="http://schemas.openxmlformats.org/markup-compatibility/2006">
          <mc:Choice Requires="x14">
            <control shapeId="3113" r:id="rId10" name="Option Button 41">
              <controlPr defaultSize="0" autoFill="0" autoLine="0" autoPict="0">
                <anchor moveWithCells="1">
                  <from>
                    <xdr:col>42</xdr:col>
                    <xdr:colOff>19050</xdr:colOff>
                    <xdr:row>18</xdr:row>
                    <xdr:rowOff>9525</xdr:rowOff>
                  </from>
                  <to>
                    <xdr:col>46</xdr:col>
                    <xdr:colOff>0</xdr:colOff>
                    <xdr:row>19</xdr:row>
                    <xdr:rowOff>95250</xdr:rowOff>
                  </to>
                </anchor>
              </controlPr>
            </control>
          </mc:Choice>
        </mc:AlternateContent>
        <mc:AlternateContent xmlns:mc="http://schemas.openxmlformats.org/markup-compatibility/2006">
          <mc:Choice Requires="x14">
            <control shapeId="3114" r:id="rId11" name="Option Button 42">
              <controlPr defaultSize="0" autoFill="0" autoLine="0" autoPict="0">
                <anchor moveWithCells="1">
                  <from>
                    <xdr:col>48</xdr:col>
                    <xdr:colOff>9525</xdr:colOff>
                    <xdr:row>18</xdr:row>
                    <xdr:rowOff>19050</xdr:rowOff>
                  </from>
                  <to>
                    <xdr:col>52</xdr:col>
                    <xdr:colOff>0</xdr:colOff>
                    <xdr:row>19</xdr:row>
                    <xdr:rowOff>95250</xdr:rowOff>
                  </to>
                </anchor>
              </controlPr>
            </control>
          </mc:Choice>
        </mc:AlternateContent>
        <mc:AlternateContent xmlns:mc="http://schemas.openxmlformats.org/markup-compatibility/2006">
          <mc:Choice Requires="x14">
            <control shapeId="3115" r:id="rId12" name="Group Box 43">
              <controlPr defaultSize="0" autoFill="0" autoPict="0">
                <anchor moveWithCells="1">
                  <from>
                    <xdr:col>41</xdr:col>
                    <xdr:colOff>104775</xdr:colOff>
                    <xdr:row>17</xdr:row>
                    <xdr:rowOff>76200</xdr:rowOff>
                  </from>
                  <to>
                    <xdr:col>55</xdr:col>
                    <xdr:colOff>19050</xdr:colOff>
                    <xdr:row>20</xdr:row>
                    <xdr:rowOff>76200</xdr:rowOff>
                  </to>
                </anchor>
              </controlPr>
            </control>
          </mc:Choice>
        </mc:AlternateContent>
        <mc:AlternateContent xmlns:mc="http://schemas.openxmlformats.org/markup-compatibility/2006">
          <mc:Choice Requires="x14">
            <control shapeId="3116" r:id="rId13" name="Option Button 44">
              <controlPr defaultSize="0" autoFill="0" autoLine="0" autoPict="0" macro="[0]!Two_Stage">
                <anchor moveWithCells="1">
                  <from>
                    <xdr:col>42</xdr:col>
                    <xdr:colOff>9525</xdr:colOff>
                    <xdr:row>26</xdr:row>
                    <xdr:rowOff>95250</xdr:rowOff>
                  </from>
                  <to>
                    <xdr:col>46</xdr:col>
                    <xdr:colOff>0</xdr:colOff>
                    <xdr:row>28</xdr:row>
                    <xdr:rowOff>38100</xdr:rowOff>
                  </to>
                </anchor>
              </controlPr>
            </control>
          </mc:Choice>
        </mc:AlternateContent>
        <mc:AlternateContent xmlns:mc="http://schemas.openxmlformats.org/markup-compatibility/2006">
          <mc:Choice Requires="x14">
            <control shapeId="3117" r:id="rId14" name="Option Button 45">
              <controlPr defaultSize="0" autoFill="0" autoLine="0" autoPict="0" macro="[0]!Two_Stage">
                <anchor moveWithCells="1">
                  <from>
                    <xdr:col>48</xdr:col>
                    <xdr:colOff>9525</xdr:colOff>
                    <xdr:row>26</xdr:row>
                    <xdr:rowOff>95250</xdr:rowOff>
                  </from>
                  <to>
                    <xdr:col>52</xdr:col>
                    <xdr:colOff>0</xdr:colOff>
                    <xdr:row>28</xdr:row>
                    <xdr:rowOff>38100</xdr:rowOff>
                  </to>
                </anchor>
              </controlPr>
            </control>
          </mc:Choice>
        </mc:AlternateContent>
        <mc:AlternateContent xmlns:mc="http://schemas.openxmlformats.org/markup-compatibility/2006">
          <mc:Choice Requires="x14">
            <control shapeId="3118" r:id="rId15" name="Group Box 46">
              <controlPr defaultSize="0" autoFill="0" autoPict="0">
                <anchor moveWithCells="1">
                  <from>
                    <xdr:col>41</xdr:col>
                    <xdr:colOff>114300</xdr:colOff>
                    <xdr:row>26</xdr:row>
                    <xdr:rowOff>28575</xdr:rowOff>
                  </from>
                  <to>
                    <xdr:col>55</xdr:col>
                    <xdr:colOff>19050</xdr:colOff>
                    <xdr:row>28</xdr:row>
                    <xdr:rowOff>114300</xdr:rowOff>
                  </to>
                </anchor>
              </controlPr>
            </control>
          </mc:Choice>
        </mc:AlternateContent>
        <mc:AlternateContent xmlns:mc="http://schemas.openxmlformats.org/markup-compatibility/2006">
          <mc:Choice Requires="x14">
            <control shapeId="3119" r:id="rId16" name="Option Button 47">
              <controlPr defaultSize="0" autoFill="0" autoLine="0" autoPict="0">
                <anchor moveWithCells="1">
                  <from>
                    <xdr:col>42</xdr:col>
                    <xdr:colOff>9525</xdr:colOff>
                    <xdr:row>32</xdr:row>
                    <xdr:rowOff>95250</xdr:rowOff>
                  </from>
                  <to>
                    <xdr:col>46</xdr:col>
                    <xdr:colOff>0</xdr:colOff>
                    <xdr:row>34</xdr:row>
                    <xdr:rowOff>38100</xdr:rowOff>
                  </to>
                </anchor>
              </controlPr>
            </control>
          </mc:Choice>
        </mc:AlternateContent>
        <mc:AlternateContent xmlns:mc="http://schemas.openxmlformats.org/markup-compatibility/2006">
          <mc:Choice Requires="x14">
            <control shapeId="3120" r:id="rId17" name="Option Button 48">
              <controlPr defaultSize="0" autoFill="0" autoLine="0" autoPict="0">
                <anchor moveWithCells="1">
                  <from>
                    <xdr:col>48</xdr:col>
                    <xdr:colOff>9525</xdr:colOff>
                    <xdr:row>32</xdr:row>
                    <xdr:rowOff>95250</xdr:rowOff>
                  </from>
                  <to>
                    <xdr:col>52</xdr:col>
                    <xdr:colOff>0</xdr:colOff>
                    <xdr:row>34</xdr:row>
                    <xdr:rowOff>38100</xdr:rowOff>
                  </to>
                </anchor>
              </controlPr>
            </control>
          </mc:Choice>
        </mc:AlternateContent>
        <mc:AlternateContent xmlns:mc="http://schemas.openxmlformats.org/markup-compatibility/2006">
          <mc:Choice Requires="x14">
            <control shapeId="3121" r:id="rId18" name="Group Box 49">
              <controlPr defaultSize="0" autoFill="0" autoPict="0">
                <anchor moveWithCells="1">
                  <from>
                    <xdr:col>41</xdr:col>
                    <xdr:colOff>133350</xdr:colOff>
                    <xdr:row>32</xdr:row>
                    <xdr:rowOff>38100</xdr:rowOff>
                  </from>
                  <to>
                    <xdr:col>55</xdr:col>
                    <xdr:colOff>0</xdr:colOff>
                    <xdr:row>34</xdr:row>
                    <xdr:rowOff>76200</xdr:rowOff>
                  </to>
                </anchor>
              </controlPr>
            </control>
          </mc:Choice>
        </mc:AlternateContent>
        <mc:AlternateContent xmlns:mc="http://schemas.openxmlformats.org/markup-compatibility/2006">
          <mc:Choice Requires="x14">
            <control shapeId="3122" r:id="rId19" name="Option Button 50">
              <controlPr defaultSize="0" autoFill="0" autoLine="0" autoPict="0">
                <anchor moveWithCells="1">
                  <from>
                    <xdr:col>42</xdr:col>
                    <xdr:colOff>9525</xdr:colOff>
                    <xdr:row>37</xdr:row>
                    <xdr:rowOff>95250</xdr:rowOff>
                  </from>
                  <to>
                    <xdr:col>46</xdr:col>
                    <xdr:colOff>0</xdr:colOff>
                    <xdr:row>39</xdr:row>
                    <xdr:rowOff>38100</xdr:rowOff>
                  </to>
                </anchor>
              </controlPr>
            </control>
          </mc:Choice>
        </mc:AlternateContent>
        <mc:AlternateContent xmlns:mc="http://schemas.openxmlformats.org/markup-compatibility/2006">
          <mc:Choice Requires="x14">
            <control shapeId="3123" r:id="rId20" name="Option Button 51">
              <controlPr defaultSize="0" autoFill="0" autoLine="0" autoPict="0">
                <anchor moveWithCells="1">
                  <from>
                    <xdr:col>48</xdr:col>
                    <xdr:colOff>9525</xdr:colOff>
                    <xdr:row>37</xdr:row>
                    <xdr:rowOff>95250</xdr:rowOff>
                  </from>
                  <to>
                    <xdr:col>52</xdr:col>
                    <xdr:colOff>0</xdr:colOff>
                    <xdr:row>39</xdr:row>
                    <xdr:rowOff>38100</xdr:rowOff>
                  </to>
                </anchor>
              </controlPr>
            </control>
          </mc:Choice>
        </mc:AlternateContent>
        <mc:AlternateContent xmlns:mc="http://schemas.openxmlformats.org/markup-compatibility/2006">
          <mc:Choice Requires="x14">
            <control shapeId="3124" r:id="rId21" name="Group Box 52">
              <controlPr defaultSize="0" autoFill="0" autoPict="0">
                <anchor moveWithCells="1">
                  <from>
                    <xdr:col>41</xdr:col>
                    <xdr:colOff>161925</xdr:colOff>
                    <xdr:row>37</xdr:row>
                    <xdr:rowOff>38100</xdr:rowOff>
                  </from>
                  <to>
                    <xdr:col>54</xdr:col>
                    <xdr:colOff>190500</xdr:colOff>
                    <xdr:row>39</xdr:row>
                    <xdr:rowOff>95250</xdr:rowOff>
                  </to>
                </anchor>
              </controlPr>
            </control>
          </mc:Choice>
        </mc:AlternateContent>
        <mc:AlternateContent xmlns:mc="http://schemas.openxmlformats.org/markup-compatibility/2006">
          <mc:Choice Requires="x14">
            <control shapeId="3125" r:id="rId22" name="Option Button 53">
              <controlPr defaultSize="0" autoFill="0" autoLine="0" autoPict="0">
                <anchor moveWithCells="1">
                  <from>
                    <xdr:col>42</xdr:col>
                    <xdr:colOff>9525</xdr:colOff>
                    <xdr:row>38</xdr:row>
                    <xdr:rowOff>95250</xdr:rowOff>
                  </from>
                  <to>
                    <xdr:col>46</xdr:col>
                    <xdr:colOff>0</xdr:colOff>
                    <xdr:row>40</xdr:row>
                    <xdr:rowOff>38100</xdr:rowOff>
                  </to>
                </anchor>
              </controlPr>
            </control>
          </mc:Choice>
        </mc:AlternateContent>
        <mc:AlternateContent xmlns:mc="http://schemas.openxmlformats.org/markup-compatibility/2006">
          <mc:Choice Requires="x14">
            <control shapeId="3126" r:id="rId23" name="Option Button 54">
              <controlPr defaultSize="0" autoFill="0" autoLine="0" autoPict="0">
                <anchor moveWithCells="1">
                  <from>
                    <xdr:col>48</xdr:col>
                    <xdr:colOff>9525</xdr:colOff>
                    <xdr:row>38</xdr:row>
                    <xdr:rowOff>95250</xdr:rowOff>
                  </from>
                  <to>
                    <xdr:col>52</xdr:col>
                    <xdr:colOff>0</xdr:colOff>
                    <xdr:row>40</xdr:row>
                    <xdr:rowOff>38100</xdr:rowOff>
                  </to>
                </anchor>
              </controlPr>
            </control>
          </mc:Choice>
        </mc:AlternateContent>
        <mc:AlternateContent xmlns:mc="http://schemas.openxmlformats.org/markup-compatibility/2006">
          <mc:Choice Requires="x14">
            <control shapeId="3127" r:id="rId24" name="Group Box 55">
              <controlPr defaultSize="0" autoFill="0" autoPict="0">
                <anchor moveWithCells="1">
                  <from>
                    <xdr:col>41</xdr:col>
                    <xdr:colOff>152400</xdr:colOff>
                    <xdr:row>38</xdr:row>
                    <xdr:rowOff>57150</xdr:rowOff>
                  </from>
                  <to>
                    <xdr:col>55</xdr:col>
                    <xdr:colOff>95250</xdr:colOff>
                    <xdr:row>40</xdr:row>
                    <xdr:rowOff>95250</xdr:rowOff>
                  </to>
                </anchor>
              </controlPr>
            </control>
          </mc:Choice>
        </mc:AlternateContent>
        <mc:AlternateContent xmlns:mc="http://schemas.openxmlformats.org/markup-compatibility/2006">
          <mc:Choice Requires="x14">
            <control shapeId="3128" r:id="rId25" name="Option Button 56">
              <controlPr defaultSize="0" autoFill="0" autoLine="0" autoPict="0">
                <anchor moveWithCells="1">
                  <from>
                    <xdr:col>42</xdr:col>
                    <xdr:colOff>9525</xdr:colOff>
                    <xdr:row>42</xdr:row>
                    <xdr:rowOff>9525</xdr:rowOff>
                  </from>
                  <to>
                    <xdr:col>46</xdr:col>
                    <xdr:colOff>0</xdr:colOff>
                    <xdr:row>43</xdr:row>
                    <xdr:rowOff>95250</xdr:rowOff>
                  </to>
                </anchor>
              </controlPr>
            </control>
          </mc:Choice>
        </mc:AlternateContent>
        <mc:AlternateContent xmlns:mc="http://schemas.openxmlformats.org/markup-compatibility/2006">
          <mc:Choice Requires="x14">
            <control shapeId="3129" r:id="rId26" name="Option Button 57">
              <controlPr defaultSize="0" autoFill="0" autoLine="0" autoPict="0">
                <anchor moveWithCells="1">
                  <from>
                    <xdr:col>48</xdr:col>
                    <xdr:colOff>9525</xdr:colOff>
                    <xdr:row>42</xdr:row>
                    <xdr:rowOff>9525</xdr:rowOff>
                  </from>
                  <to>
                    <xdr:col>52</xdr:col>
                    <xdr:colOff>0</xdr:colOff>
                    <xdr:row>43</xdr:row>
                    <xdr:rowOff>95250</xdr:rowOff>
                  </to>
                </anchor>
              </controlPr>
            </control>
          </mc:Choice>
        </mc:AlternateContent>
        <mc:AlternateContent xmlns:mc="http://schemas.openxmlformats.org/markup-compatibility/2006">
          <mc:Choice Requires="x14">
            <control shapeId="3130" r:id="rId27" name="Group Box 58">
              <controlPr defaultSize="0" autoFill="0" autoPict="0">
                <anchor moveWithCells="1">
                  <from>
                    <xdr:col>41</xdr:col>
                    <xdr:colOff>114300</xdr:colOff>
                    <xdr:row>41</xdr:row>
                    <xdr:rowOff>66675</xdr:rowOff>
                  </from>
                  <to>
                    <xdr:col>54</xdr:col>
                    <xdr:colOff>133350</xdr:colOff>
                    <xdr:row>44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CP223"/>
  <sheetViews>
    <sheetView zoomScaleNormal="100" workbookViewId="0">
      <selection activeCell="AL40" sqref="AL40"/>
    </sheetView>
  </sheetViews>
  <sheetFormatPr defaultColWidth="9" defaultRowHeight="14.25"/>
  <cols>
    <col min="1" max="52" width="2.75" style="35" customWidth="1"/>
    <col min="53" max="78" width="2.625" style="35" customWidth="1"/>
    <col min="79" max="90" width="12.75" style="29" customWidth="1"/>
    <col min="91" max="156" width="12.75" style="35" customWidth="1"/>
    <col min="157" max="16384" width="9" style="35"/>
  </cols>
  <sheetData>
    <row r="1" spans="1:90" s="27" customFormat="1" ht="24.75" customHeight="1">
      <c r="A1" s="115" t="str">
        <f>'Multi-stage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73</v>
      </c>
      <c r="CB1" s="29"/>
      <c r="CC1" s="29"/>
      <c r="CD1" s="29"/>
      <c r="CE1" s="29"/>
      <c r="CF1" s="29" t="str">
        <f>data!D7</f>
        <v>International</v>
      </c>
      <c r="CG1" s="29"/>
      <c r="CH1" s="29"/>
      <c r="CI1" s="29"/>
      <c r="CJ1" s="29"/>
      <c r="CK1" s="29"/>
      <c r="CL1" s="30"/>
    </row>
    <row r="2" spans="1:90" s="27" customFormat="1" ht="24.75" customHeight="1">
      <c r="A2" s="116" t="s">
        <v>53</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row>
    <row r="3" spans="1:90"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6"/>
      <c r="BD3" s="76"/>
      <c r="BE3" s="35" t="s">
        <v>126</v>
      </c>
      <c r="BF3" s="35"/>
      <c r="BG3" s="35"/>
      <c r="BH3" s="35"/>
      <c r="BI3" s="35"/>
      <c r="BJ3" s="82"/>
      <c r="BK3" s="35"/>
      <c r="BL3" s="35"/>
      <c r="CA3" s="28"/>
      <c r="CB3" s="37" t="s">
        <v>351</v>
      </c>
      <c r="CC3" s="38">
        <f>'Fixed Capacity unit'!$H$9</f>
        <v>8719.9999989179996</v>
      </c>
      <c r="CD3" s="39"/>
      <c r="CE3" s="40" t="s">
        <v>0</v>
      </c>
      <c r="CF3" s="41">
        <f>$CI$49/$CL$49</f>
        <v>3.5961328383972777</v>
      </c>
      <c r="CG3" s="29"/>
      <c r="CH3" s="29"/>
      <c r="CI3" s="29"/>
      <c r="CJ3" s="42"/>
      <c r="CK3" s="29"/>
      <c r="CL3" s="43"/>
    </row>
    <row r="4" spans="1:90"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6"/>
      <c r="BD4" s="76"/>
      <c r="BE4" s="35" t="s">
        <v>126</v>
      </c>
      <c r="BF4" s="35"/>
      <c r="BG4" s="35"/>
      <c r="BH4" s="35"/>
      <c r="BI4" s="35"/>
      <c r="BJ4" s="35"/>
      <c r="BK4" s="35"/>
      <c r="BL4" s="35"/>
      <c r="CA4" s="28"/>
      <c r="CB4" s="29"/>
      <c r="CC4" s="29"/>
      <c r="CD4" s="29"/>
      <c r="CE4" s="29"/>
      <c r="CF4" s="29"/>
      <c r="CG4" s="29"/>
      <c r="CH4" s="29"/>
      <c r="CI4" s="29"/>
      <c r="CJ4" s="29"/>
      <c r="CK4" s="29"/>
      <c r="CL4" s="43"/>
    </row>
    <row r="5" spans="1:90"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6"/>
      <c r="BD5" s="76"/>
      <c r="BE5" s="35" t="s">
        <v>126</v>
      </c>
      <c r="BF5" s="35"/>
      <c r="BG5" s="35"/>
      <c r="CA5" s="28"/>
      <c r="CB5" s="29"/>
      <c r="CC5" s="44" t="s">
        <v>352</v>
      </c>
      <c r="CD5" s="29"/>
      <c r="CE5" s="29"/>
      <c r="CF5" s="29"/>
      <c r="CG5" s="44" t="s">
        <v>19</v>
      </c>
      <c r="CH5" s="61">
        <f>IF('Fixed Capacity unit'!$BD$7="Required test",data!$D$14,IF('Fixed Capacity unit'!$BD$16="Default",data!$D$14,$CK$9))</f>
        <v>0.25</v>
      </c>
      <c r="CI5" s="29"/>
      <c r="CJ5" s="29"/>
      <c r="CK5" s="40" t="s">
        <v>61</v>
      </c>
      <c r="CL5" s="40" t="s">
        <v>60</v>
      </c>
    </row>
    <row r="6" spans="1:90"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33"/>
      <c r="BE6" s="35" t="s">
        <v>126</v>
      </c>
      <c r="BF6" s="91"/>
      <c r="BJ6" s="92"/>
      <c r="CA6" s="28"/>
      <c r="CB6" s="51" t="s">
        <v>18</v>
      </c>
      <c r="CC6" s="52">
        <f>'Fixed Capacity unit'!$H$9</f>
        <v>8719.9999989179996</v>
      </c>
      <c r="CD6" s="29"/>
      <c r="CE6" s="29"/>
      <c r="CF6" s="29"/>
      <c r="CG6" s="44" t="s">
        <v>146</v>
      </c>
      <c r="CH6" s="63">
        <f>data!$D$11</f>
        <v>20</v>
      </c>
      <c r="CI6" s="29"/>
      <c r="CJ6" s="83" t="s">
        <v>18</v>
      </c>
      <c r="CK6" s="40">
        <f>'Fixed Capacity unit'!$H$18</f>
        <v>2500</v>
      </c>
      <c r="CL6" s="40">
        <f>'Fixed Capacity unit'!$H$17</f>
        <v>3300</v>
      </c>
    </row>
    <row r="7" spans="1:90"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08"/>
      <c r="AQ7" s="54"/>
      <c r="AR7" s="55" t="str">
        <f>'Variable Capacity unit'!$AR$7</f>
        <v>Required test only</v>
      </c>
      <c r="AS7" s="55"/>
      <c r="AT7" s="55"/>
      <c r="AU7" s="55"/>
      <c r="AV7" s="56"/>
      <c r="AW7" s="57"/>
      <c r="AX7" s="58" t="str">
        <f>'Variable Capacity unit'!$AX$7</f>
        <v>With Optional test</v>
      </c>
      <c r="AY7" s="58"/>
      <c r="AZ7" s="58"/>
      <c r="BA7" s="58"/>
      <c r="BB7" s="59"/>
      <c r="BC7" s="81">
        <v>1</v>
      </c>
      <c r="BD7" s="33" t="str">
        <f>IF($BC$7=2,"Optional test","Required test")</f>
        <v>Required test</v>
      </c>
      <c r="BE7" s="35" t="s">
        <v>126</v>
      </c>
      <c r="BF7" s="91"/>
      <c r="CA7" s="28"/>
      <c r="CB7" s="51" t="s">
        <v>83</v>
      </c>
      <c r="CC7" s="52">
        <f>'Fixed Capacity unit'!$L$9</f>
        <v>2532</v>
      </c>
      <c r="CD7" s="29"/>
      <c r="CE7" s="29"/>
      <c r="CF7" s="29"/>
      <c r="CG7" s="44" t="s">
        <v>353</v>
      </c>
      <c r="CH7" s="63">
        <f>data!$D$12</f>
        <v>35</v>
      </c>
      <c r="CI7" s="29"/>
      <c r="CJ7" s="83" t="s">
        <v>1</v>
      </c>
      <c r="CK7" s="40">
        <f>'Fixed Capacity unit'!$L$18</f>
        <v>480</v>
      </c>
      <c r="CL7" s="40">
        <f>'Fixed Capacity unit'!$L$17</f>
        <v>580</v>
      </c>
    </row>
    <row r="8" spans="1:90"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1"/>
      <c r="AR8" s="31"/>
      <c r="AS8" s="31"/>
      <c r="AT8" s="31"/>
      <c r="AU8" s="31"/>
      <c r="AV8" s="31"/>
      <c r="AW8" s="31"/>
      <c r="AX8" s="31"/>
      <c r="AY8" s="31"/>
      <c r="AZ8" s="31"/>
      <c r="BA8" s="32"/>
      <c r="BB8" s="32"/>
      <c r="BC8" s="33"/>
      <c r="BD8" s="33"/>
      <c r="BE8" s="35" t="s">
        <v>126</v>
      </c>
      <c r="BF8" s="91"/>
      <c r="CA8" s="28"/>
      <c r="CB8" s="44" t="s">
        <v>152</v>
      </c>
      <c r="CC8" s="61">
        <f>$CC$6/$CC$7</f>
        <v>3.4439178510734596</v>
      </c>
      <c r="CD8" s="29"/>
      <c r="CE8" s="29"/>
      <c r="CF8" s="29"/>
      <c r="CG8" s="29"/>
      <c r="CH8" s="29"/>
      <c r="CI8" s="29"/>
      <c r="CJ8" s="83" t="s">
        <v>354</v>
      </c>
      <c r="CK8" s="41">
        <f>$CK$6/$CK$7</f>
        <v>5.208333333333333</v>
      </c>
      <c r="CL8" s="41">
        <f>$CL$6/$CL$7</f>
        <v>5.6896551724137927</v>
      </c>
    </row>
    <row r="9" spans="1:90" s="34" customFormat="1" ht="12" customHeight="1">
      <c r="A9" s="31"/>
      <c r="B9" s="31"/>
      <c r="C9" s="31"/>
      <c r="D9" s="123" t="str">
        <f>'Variable Capacity unit'!$D$9</f>
        <v>Full</v>
      </c>
      <c r="E9" s="124"/>
      <c r="F9" s="124"/>
      <c r="G9" s="125"/>
      <c r="H9" s="134">
        <v>8719.9999989179996</v>
      </c>
      <c r="I9" s="134"/>
      <c r="J9" s="134"/>
      <c r="K9" s="134"/>
      <c r="L9" s="134">
        <v>2532</v>
      </c>
      <c r="M9" s="134"/>
      <c r="N9" s="134"/>
      <c r="O9" s="134"/>
      <c r="P9" s="135">
        <f>$H$9/$L$9</f>
        <v>3.4439178510734596</v>
      </c>
      <c r="Q9" s="136"/>
      <c r="R9" s="31"/>
      <c r="S9" s="31"/>
      <c r="T9" s="31"/>
      <c r="U9" s="31"/>
      <c r="V9" s="31"/>
      <c r="W9" s="31"/>
      <c r="X9" s="31" t="s">
        <v>111</v>
      </c>
      <c r="Y9" s="31"/>
      <c r="Z9" s="31"/>
      <c r="AA9" s="31"/>
      <c r="AB9" s="31"/>
      <c r="AC9" s="31"/>
      <c r="AD9" s="31"/>
      <c r="AE9" s="31"/>
      <c r="AF9" s="31"/>
      <c r="AG9" s="31"/>
      <c r="AH9" s="31"/>
      <c r="AI9" s="31"/>
      <c r="AJ9" s="31"/>
      <c r="AK9" s="108" t="str">
        <f>'Variable Capacity unit'!$AK$9</f>
        <v>Full Performance</v>
      </c>
      <c r="AL9" s="108"/>
      <c r="AM9" s="108"/>
      <c r="AN9" s="108"/>
      <c r="AO9" s="108"/>
      <c r="AP9" s="108"/>
      <c r="AQ9" s="105" t="s">
        <v>44</v>
      </c>
      <c r="AR9" s="105"/>
      <c r="AS9" s="105"/>
      <c r="AT9" s="105"/>
      <c r="AU9" s="105"/>
      <c r="AV9" s="105"/>
      <c r="AW9" s="105"/>
      <c r="AX9" s="105"/>
      <c r="AY9" s="105"/>
      <c r="AZ9" s="105"/>
      <c r="BA9" s="105"/>
      <c r="BB9" s="105"/>
      <c r="BC9" s="33"/>
      <c r="BD9" s="33"/>
      <c r="BE9" s="35" t="s">
        <v>126</v>
      </c>
      <c r="BF9" s="91"/>
      <c r="CA9" s="28"/>
      <c r="CB9" s="44"/>
      <c r="CC9" s="44"/>
      <c r="CD9" s="29"/>
      <c r="CE9" s="29"/>
      <c r="CF9" s="29"/>
      <c r="CG9" s="29"/>
      <c r="CH9" s="29"/>
      <c r="CI9" s="29"/>
      <c r="CJ9" s="40" t="s">
        <v>96</v>
      </c>
      <c r="CK9" s="150">
        <f>(1-($CK$8/$CL$8))/(1-($CK$6/$CL$6))</f>
        <v>0.34895833333333315</v>
      </c>
      <c r="CL9" s="150"/>
    </row>
    <row r="10" spans="1:90" s="34" customFormat="1" ht="12" customHeight="1">
      <c r="A10" s="31"/>
      <c r="B10" s="31"/>
      <c r="C10" s="31"/>
      <c r="D10" s="31"/>
      <c r="E10" s="31"/>
      <c r="F10" s="31"/>
      <c r="G10" s="31"/>
      <c r="H10" s="31"/>
      <c r="I10" s="31"/>
      <c r="J10" s="31"/>
      <c r="K10" s="31"/>
      <c r="L10" s="31"/>
      <c r="M10" s="31"/>
      <c r="N10" s="31"/>
      <c r="O10" s="31"/>
      <c r="P10" s="31"/>
      <c r="Q10" s="31"/>
      <c r="R10" s="31"/>
      <c r="S10" s="31"/>
      <c r="T10" s="31"/>
      <c r="U10" s="31"/>
      <c r="V10" s="31"/>
      <c r="W10" s="64"/>
      <c r="X10" s="31"/>
      <c r="Y10" s="108" t="str">
        <f>data!D7</f>
        <v>International</v>
      </c>
      <c r="Z10" s="108"/>
      <c r="AA10" s="108"/>
      <c r="AB10" s="108"/>
      <c r="AC10" s="129" t="str">
        <f>data!$F$7</f>
        <v>CUSTOM</v>
      </c>
      <c r="AD10" s="130"/>
      <c r="AE10" s="130"/>
      <c r="AF10" s="131"/>
      <c r="AG10" s="31"/>
      <c r="AH10" s="31"/>
      <c r="AI10" s="31"/>
      <c r="AJ10" s="31"/>
      <c r="AK10" s="31"/>
      <c r="AL10" s="31"/>
      <c r="AM10" s="31"/>
      <c r="AN10" s="31"/>
      <c r="AO10" s="31"/>
      <c r="AP10" s="31"/>
      <c r="AQ10" s="31"/>
      <c r="AR10" s="31"/>
      <c r="AS10" s="31"/>
      <c r="AT10" s="31"/>
      <c r="AU10" s="31"/>
      <c r="AV10" s="31"/>
      <c r="AW10" s="31"/>
      <c r="AX10" s="31"/>
      <c r="AY10" s="31"/>
      <c r="AZ10" s="31"/>
      <c r="BA10" s="32"/>
      <c r="BB10" s="32"/>
      <c r="BC10" s="33"/>
      <c r="BD10" s="33"/>
      <c r="BE10" s="35" t="s">
        <v>126</v>
      </c>
      <c r="BF10" s="91"/>
      <c r="CA10" s="28"/>
      <c r="CB10" s="44"/>
      <c r="CC10" s="44" t="s">
        <v>355</v>
      </c>
      <c r="CD10" s="29"/>
      <c r="CE10" s="29"/>
      <c r="CF10" s="29"/>
      <c r="CG10" s="29"/>
      <c r="CH10" s="29"/>
      <c r="CI10" s="29"/>
      <c r="CJ10" s="29"/>
      <c r="CK10" s="29"/>
      <c r="CL10" s="29"/>
    </row>
    <row r="11" spans="1:90" s="34" customFormat="1" ht="12" customHeight="1">
      <c r="A11" s="31"/>
      <c r="B11" s="31"/>
      <c r="C11" s="31"/>
      <c r="D11" s="31" t="str">
        <f>'Variable Capacity unit'!$D$13</f>
        <v>Low Temperature Condition ( 29℃ ）</v>
      </c>
      <c r="E11" s="31"/>
      <c r="F11" s="31"/>
      <c r="G11" s="31"/>
      <c r="H11" s="31"/>
      <c r="I11" s="31"/>
      <c r="J11" s="31"/>
      <c r="K11" s="31"/>
      <c r="L11" s="31"/>
      <c r="M11" s="31"/>
      <c r="N11" s="31"/>
      <c r="O11" s="31"/>
      <c r="P11" s="31"/>
      <c r="Q11" s="31"/>
      <c r="R11" s="31"/>
      <c r="S11" s="31"/>
      <c r="T11" s="31"/>
      <c r="U11" s="108" t="str">
        <f>'Variable Capacity unit'!$U$13</f>
        <v>CSTL [ kWh ]</v>
      </c>
      <c r="V11" s="108"/>
      <c r="W11" s="108"/>
      <c r="X11" s="108"/>
      <c r="Y11" s="126">
        <f>'Fixed Capacity unit'!$CI$49/1000</f>
        <v>6392.9226658734169</v>
      </c>
      <c r="Z11" s="126"/>
      <c r="AA11" s="126"/>
      <c r="AB11" s="126"/>
      <c r="AC11" s="151">
        <f>'Fixed Capacity unit'!CI108/1000</f>
        <v>7207.7166657696916</v>
      </c>
      <c r="AD11" s="152"/>
      <c r="AE11" s="152"/>
      <c r="AF11" s="153"/>
      <c r="AG11" s="31"/>
      <c r="AH11" s="31"/>
      <c r="AI11" s="31" t="str">
        <f>'Variable Capacity unit'!$AI$13</f>
        <v>(35℃）</v>
      </c>
      <c r="AJ11" s="31"/>
      <c r="AK11" s="109" t="str">
        <f>'Variable Capacity unit'!$AK$13</f>
        <v>Full</v>
      </c>
      <c r="AL11" s="109"/>
      <c r="AM11" s="109"/>
      <c r="AN11" s="109"/>
      <c r="AO11" s="109"/>
      <c r="AP11" s="109"/>
      <c r="AQ11" s="105" t="s">
        <v>44</v>
      </c>
      <c r="AR11" s="105"/>
      <c r="AS11" s="105"/>
      <c r="AT11" s="105"/>
      <c r="AU11" s="105"/>
      <c r="AV11" s="105"/>
      <c r="AW11" s="105"/>
      <c r="AX11" s="105"/>
      <c r="AY11" s="105"/>
      <c r="AZ11" s="105"/>
      <c r="BA11" s="105"/>
      <c r="BB11" s="105"/>
      <c r="BC11" s="33"/>
      <c r="BD11" s="33"/>
      <c r="BE11" s="35" t="s">
        <v>126</v>
      </c>
      <c r="BF11" s="91"/>
      <c r="CA11" s="28"/>
      <c r="CB11" s="51" t="s">
        <v>18</v>
      </c>
      <c r="CC11" s="52">
        <f>IF('Fixed Capacity unit'!$BD$13="Default",$CC$6*data!$D$15,'Fixed Capacity unit'!$H$13)</f>
        <v>9069.9999999988395</v>
      </c>
      <c r="CD11" s="29"/>
      <c r="CE11" s="29"/>
      <c r="CF11" s="29"/>
      <c r="CG11" s="29"/>
      <c r="CH11" s="29"/>
      <c r="CI11" s="29"/>
      <c r="CJ11" s="29"/>
      <c r="CK11" s="29"/>
      <c r="CL11" s="29"/>
    </row>
    <row r="12" spans="1:90" s="34" customFormat="1" ht="12" customHeight="1">
      <c r="A12" s="31"/>
      <c r="B12" s="31"/>
      <c r="C12" s="31"/>
      <c r="D12" s="31"/>
      <c r="E12" s="31"/>
      <c r="F12" s="31"/>
      <c r="G12" s="31"/>
      <c r="H12" s="154" t="str">
        <f>'Variable Capacity unit'!$H$8</f>
        <v>Capacity [W]</v>
      </c>
      <c r="I12" s="154"/>
      <c r="J12" s="154"/>
      <c r="K12" s="154"/>
      <c r="L12" s="154" t="str">
        <f>'Variable Capacity unit'!$L$8</f>
        <v>Power [W]</v>
      </c>
      <c r="M12" s="154"/>
      <c r="N12" s="154"/>
      <c r="O12" s="154"/>
      <c r="P12" s="103" t="str">
        <f>'Variable Capacity unit'!$P$8</f>
        <v>EER</v>
      </c>
      <c r="Q12" s="104"/>
      <c r="R12" s="31"/>
      <c r="S12" s="31"/>
      <c r="T12" s="31"/>
      <c r="U12" s="108" t="str">
        <f>'Variable Capacity unit'!$U$14</f>
        <v>CSEC [ kWh ]</v>
      </c>
      <c r="V12" s="108"/>
      <c r="W12" s="108"/>
      <c r="X12" s="108"/>
      <c r="Y12" s="126">
        <f>'Fixed Capacity unit'!$CL$49/1000</f>
        <v>1777.7215006113654</v>
      </c>
      <c r="Z12" s="126"/>
      <c r="AA12" s="126"/>
      <c r="AB12" s="126"/>
      <c r="AC12" s="151">
        <f>'Fixed Capacity unit'!CL108/1000</f>
        <v>2010.7574456777832</v>
      </c>
      <c r="AD12" s="152"/>
      <c r="AE12" s="152"/>
      <c r="AF12" s="153"/>
      <c r="AG12" s="31"/>
      <c r="AH12" s="31"/>
      <c r="AI12" s="31"/>
      <c r="AJ12" s="31"/>
      <c r="AK12" s="31"/>
      <c r="AL12" s="31"/>
      <c r="AM12" s="31"/>
      <c r="AN12" s="31"/>
      <c r="AO12" s="31"/>
      <c r="AP12" s="31"/>
      <c r="AQ12" s="31"/>
      <c r="AR12" s="31"/>
      <c r="AS12" s="31"/>
      <c r="AT12" s="31"/>
      <c r="AU12" s="31"/>
      <c r="AV12" s="31"/>
      <c r="AW12" s="31"/>
      <c r="AX12" s="31"/>
      <c r="AY12" s="31"/>
      <c r="AZ12" s="31"/>
      <c r="BA12" s="32"/>
      <c r="BB12" s="32"/>
      <c r="BC12" s="33"/>
      <c r="BD12" s="33"/>
      <c r="BE12" s="35" t="s">
        <v>126</v>
      </c>
      <c r="BF12" s="91"/>
      <c r="CA12" s="28"/>
      <c r="CB12" s="51" t="s">
        <v>83</v>
      </c>
      <c r="CC12" s="52">
        <f>IF('Fixed Capacity unit'!$BD$13="Default",$CC$7*data!$D$16,'Fixed Capacity unit'!$L$13)</f>
        <v>2278</v>
      </c>
      <c r="CD12" s="29"/>
      <c r="CE12" s="29"/>
      <c r="CF12" s="29"/>
      <c r="CG12" s="29"/>
      <c r="CH12" s="29"/>
      <c r="CI12" s="29"/>
      <c r="CJ12" s="29"/>
      <c r="CK12" s="29"/>
      <c r="CL12" s="29"/>
    </row>
    <row r="13" spans="1:90" s="34" customFormat="1" ht="12" customHeight="1">
      <c r="A13" s="31"/>
      <c r="B13" s="31"/>
      <c r="C13" s="31"/>
      <c r="D13" s="123" t="str">
        <f>'Variable Capacity unit'!$D$9</f>
        <v>Full</v>
      </c>
      <c r="E13" s="124"/>
      <c r="F13" s="124"/>
      <c r="G13" s="125"/>
      <c r="H13" s="134">
        <v>9069.9999999988395</v>
      </c>
      <c r="I13" s="134"/>
      <c r="J13" s="134"/>
      <c r="K13" s="134"/>
      <c r="L13" s="134">
        <v>2278</v>
      </c>
      <c r="M13" s="134"/>
      <c r="N13" s="134"/>
      <c r="O13" s="134"/>
      <c r="P13" s="111">
        <f>$H$13/$L$13</f>
        <v>3.9815627743629673</v>
      </c>
      <c r="Q13" s="111"/>
      <c r="R13" s="31"/>
      <c r="S13" s="31"/>
      <c r="T13" s="31"/>
      <c r="U13" s="108" t="str">
        <f>'Variable Capacity unit'!$U$15</f>
        <v>CSPF</v>
      </c>
      <c r="V13" s="108"/>
      <c r="W13" s="108"/>
      <c r="X13" s="108"/>
      <c r="Y13" s="111">
        <f>'Fixed Capacity unit'!$CF$3</f>
        <v>3.5961328383972777</v>
      </c>
      <c r="Z13" s="111"/>
      <c r="AA13" s="111"/>
      <c r="AB13" s="111"/>
      <c r="AC13" s="142">
        <f>'Fixed Capacity unit'!CF62</f>
        <v>3.584577881963344</v>
      </c>
      <c r="AD13" s="130"/>
      <c r="AE13" s="130"/>
      <c r="AF13" s="131"/>
      <c r="AG13" s="31"/>
      <c r="AH13" s="31"/>
      <c r="AI13" s="31" t="str">
        <f>'Variable Capacity unit'!$AI$16</f>
        <v>(29℃）</v>
      </c>
      <c r="AJ13" s="31"/>
      <c r="AK13" s="109" t="str">
        <f>'Variable Capacity unit'!$D$16</f>
        <v>Half</v>
      </c>
      <c r="AL13" s="109"/>
      <c r="AM13" s="109"/>
      <c r="AN13" s="109"/>
      <c r="AO13" s="109"/>
      <c r="AP13" s="109"/>
      <c r="AQ13" s="105" t="s">
        <v>44</v>
      </c>
      <c r="AR13" s="105"/>
      <c r="AS13" s="105"/>
      <c r="AT13" s="105"/>
      <c r="AU13" s="105"/>
      <c r="AV13" s="105"/>
      <c r="AW13" s="105"/>
      <c r="AX13" s="105"/>
      <c r="AY13" s="105"/>
      <c r="AZ13" s="105"/>
      <c r="BA13" s="105"/>
      <c r="BB13" s="105"/>
      <c r="BC13" s="33"/>
      <c r="BD13" s="33"/>
      <c r="BE13" s="35" t="s">
        <v>126</v>
      </c>
      <c r="BF13" s="91"/>
      <c r="CA13" s="28"/>
      <c r="CB13" s="44" t="s">
        <v>356</v>
      </c>
      <c r="CC13" s="61">
        <f>$CC$11/$CC$12</f>
        <v>3.9815627743629673</v>
      </c>
      <c r="CD13" s="29"/>
      <c r="CE13" s="29"/>
      <c r="CF13" s="29"/>
      <c r="CG13" s="29"/>
      <c r="CH13" s="29"/>
      <c r="CI13" s="29"/>
      <c r="CJ13" s="29"/>
      <c r="CK13" s="29"/>
      <c r="CL13" s="29"/>
    </row>
    <row r="14" spans="1:90" s="34" customFormat="1" ht="12" customHeight="1">
      <c r="A14" s="31"/>
      <c r="B14" s="31"/>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2"/>
      <c r="BB14" s="32"/>
      <c r="BC14" s="33"/>
      <c r="BD14" s="33"/>
      <c r="BE14" s="35" t="s">
        <v>126</v>
      </c>
      <c r="BF14" s="91"/>
      <c r="CA14" s="28"/>
      <c r="CB14" s="40"/>
      <c r="CC14" s="40"/>
      <c r="CD14" s="29"/>
      <c r="CE14" s="29"/>
      <c r="CF14" s="29"/>
      <c r="CG14" s="29"/>
      <c r="CH14" s="29"/>
      <c r="CI14" s="29"/>
      <c r="CJ14" s="29"/>
      <c r="CK14" s="29"/>
      <c r="CL14" s="29"/>
    </row>
    <row r="15" spans="1:90" s="34" customFormat="1" ht="12" customHeight="1">
      <c r="A15" s="31"/>
      <c r="B15" s="31"/>
      <c r="C15" s="31"/>
      <c r="D15" s="31" t="str">
        <f>'Variable Capacity unit'!$D$19</f>
        <v>Low humidity and Cyclic condition (29℃)</v>
      </c>
      <c r="E15" s="31"/>
      <c r="F15" s="31"/>
      <c r="G15" s="31"/>
      <c r="H15" s="31"/>
      <c r="I15" s="31"/>
      <c r="J15" s="31"/>
      <c r="K15" s="31"/>
      <c r="L15" s="31"/>
      <c r="M15" s="31"/>
      <c r="N15" s="31"/>
      <c r="O15" s="31"/>
      <c r="P15" s="31"/>
      <c r="Q15" s="31"/>
      <c r="R15" s="31"/>
      <c r="S15" s="31"/>
      <c r="T15" s="31"/>
      <c r="U15" s="108" t="str">
        <f>'Variable Capacity unit'!$U$17</f>
        <v>CD</v>
      </c>
      <c r="V15" s="108"/>
      <c r="W15" s="108"/>
      <c r="X15" s="108"/>
      <c r="Y15" s="147">
        <f>'Fixed Capacity unit'!$CH$5</f>
        <v>0.25</v>
      </c>
      <c r="Z15" s="147"/>
      <c r="AA15" s="147"/>
      <c r="AB15" s="147"/>
      <c r="AC15" s="142">
        <f>'Fixed Capacity unit'!CH64</f>
        <v>0.25</v>
      </c>
      <c r="AD15" s="130"/>
      <c r="AE15" s="130"/>
      <c r="AF15" s="131"/>
      <c r="AG15" s="31"/>
      <c r="AH15" s="31"/>
      <c r="AI15" s="31" t="str">
        <f>'Variable Capacity unit'!$AI$21</f>
        <v>(29℃ Low Humidity and cyclic)</v>
      </c>
      <c r="AJ15" s="31"/>
      <c r="AK15" s="31"/>
      <c r="AL15" s="31"/>
      <c r="AM15" s="31"/>
      <c r="AN15" s="31"/>
      <c r="AO15" s="31"/>
      <c r="AP15" s="31"/>
      <c r="AQ15" s="31"/>
      <c r="AR15" s="31"/>
      <c r="AS15" s="31"/>
      <c r="AT15" s="31"/>
      <c r="AU15" s="31"/>
      <c r="AV15" s="31"/>
      <c r="AW15" s="31"/>
      <c r="AX15" s="31"/>
      <c r="AY15" s="31"/>
      <c r="AZ15" s="31"/>
      <c r="BA15" s="32"/>
      <c r="BB15" s="32"/>
      <c r="BC15" s="33"/>
      <c r="BD15" s="33"/>
      <c r="BE15" s="35" t="s">
        <v>126</v>
      </c>
      <c r="BF15" s="91"/>
      <c r="CA15" s="28"/>
      <c r="CB15" s="97" t="s">
        <v>5</v>
      </c>
      <c r="CC15" s="98" t="s">
        <v>7</v>
      </c>
      <c r="CD15" s="97" t="s">
        <v>8</v>
      </c>
      <c r="CE15" s="66" t="s">
        <v>9</v>
      </c>
      <c r="CF15" s="66" t="s">
        <v>10</v>
      </c>
      <c r="CG15" s="66" t="s">
        <v>20</v>
      </c>
      <c r="CH15" s="66" t="s">
        <v>11</v>
      </c>
      <c r="CI15" s="67" t="s">
        <v>2</v>
      </c>
      <c r="CJ15" s="66" t="s">
        <v>13</v>
      </c>
      <c r="CK15" s="66" t="s">
        <v>16</v>
      </c>
      <c r="CL15" s="67" t="s">
        <v>3</v>
      </c>
    </row>
    <row r="16" spans="1:90" s="34" customFormat="1" ht="12" customHeight="1">
      <c r="A16" s="31"/>
      <c r="B16" s="31"/>
      <c r="C16" s="31"/>
      <c r="D16" s="31"/>
      <c r="E16" s="31"/>
      <c r="F16" s="31"/>
      <c r="G16" s="31"/>
      <c r="H16" s="154" t="str">
        <f>'Variable Capacity unit'!$H$8</f>
        <v>Capacity [W]</v>
      </c>
      <c r="I16" s="154"/>
      <c r="J16" s="154"/>
      <c r="K16" s="154"/>
      <c r="L16" s="154" t="str">
        <f>'Variable Capacity unit'!$L$8</f>
        <v>Power [W]</v>
      </c>
      <c r="M16" s="154"/>
      <c r="N16" s="154"/>
      <c r="O16" s="154"/>
      <c r="P16" s="103" t="str">
        <f>'Variable Capacity unit'!$P$8</f>
        <v>EER</v>
      </c>
      <c r="Q16" s="104"/>
      <c r="R16" s="31"/>
      <c r="S16" s="31"/>
      <c r="T16" s="31"/>
      <c r="U16" s="31"/>
      <c r="V16" s="31"/>
      <c r="W16" s="31"/>
      <c r="X16" s="31"/>
      <c r="Y16" s="31"/>
      <c r="Z16" s="31"/>
      <c r="AA16" s="31"/>
      <c r="AB16" s="31"/>
      <c r="AC16" s="31"/>
      <c r="AD16" s="31"/>
      <c r="AE16" s="31"/>
      <c r="AF16" s="31"/>
      <c r="AG16" s="31"/>
      <c r="AH16" s="31"/>
      <c r="AI16" s="31"/>
      <c r="AJ16" s="31"/>
      <c r="AK16" s="108" t="str">
        <f>$D$17</f>
        <v>Full Dry Coil</v>
      </c>
      <c r="AL16" s="108"/>
      <c r="AM16" s="108"/>
      <c r="AN16" s="108"/>
      <c r="AO16" s="108"/>
      <c r="AP16" s="108"/>
      <c r="AQ16" s="69"/>
      <c r="AR16" s="157" t="s">
        <v>112</v>
      </c>
      <c r="AS16" s="157"/>
      <c r="AT16" s="157"/>
      <c r="AU16" s="157"/>
      <c r="AV16" s="158"/>
      <c r="AW16" s="69"/>
      <c r="AX16" s="157" t="s">
        <v>113</v>
      </c>
      <c r="AY16" s="157"/>
      <c r="AZ16" s="157"/>
      <c r="BA16" s="157"/>
      <c r="BB16" s="158"/>
      <c r="BC16" s="81">
        <v>1</v>
      </c>
      <c r="BD16" s="33" t="str">
        <f>IF($BC$7=2,IF($BC$16=2,"Measure","Default"),"Default")</f>
        <v>Default</v>
      </c>
      <c r="BE16" s="35" t="s">
        <v>126</v>
      </c>
      <c r="BF16" s="91"/>
      <c r="CA16" s="29"/>
      <c r="CB16" s="97"/>
      <c r="CC16" s="98"/>
      <c r="CD16" s="97"/>
      <c r="CE16" s="67" t="s">
        <v>357</v>
      </c>
      <c r="CF16" s="96" t="s">
        <v>154</v>
      </c>
      <c r="CG16" s="96" t="s">
        <v>358</v>
      </c>
      <c r="CH16" s="68" t="s">
        <v>4</v>
      </c>
      <c r="CI16" s="96" t="s">
        <v>359</v>
      </c>
      <c r="CJ16" s="68" t="s">
        <v>4</v>
      </c>
      <c r="CK16" s="68" t="s">
        <v>4</v>
      </c>
      <c r="CL16" s="96" t="s">
        <v>360</v>
      </c>
    </row>
    <row r="17" spans="1:94" s="34" customFormat="1" ht="12" customHeight="1">
      <c r="A17" s="31"/>
      <c r="B17" s="31"/>
      <c r="C17" s="31"/>
      <c r="D17" s="108" t="s">
        <v>58</v>
      </c>
      <c r="E17" s="108"/>
      <c r="F17" s="108"/>
      <c r="G17" s="108"/>
      <c r="H17" s="140">
        <v>3300</v>
      </c>
      <c r="I17" s="140"/>
      <c r="J17" s="140"/>
      <c r="K17" s="140"/>
      <c r="L17" s="140">
        <v>580</v>
      </c>
      <c r="M17" s="140"/>
      <c r="N17" s="140"/>
      <c r="O17" s="140"/>
      <c r="P17" s="147">
        <f>$H$17/$L$17</f>
        <v>5.6896551724137927</v>
      </c>
      <c r="Q17" s="147"/>
      <c r="R17" s="31"/>
      <c r="S17" s="31"/>
      <c r="T17" s="31"/>
      <c r="U17" s="31"/>
      <c r="V17" s="31"/>
      <c r="W17" s="31"/>
      <c r="X17" s="31"/>
      <c r="Y17" s="31"/>
      <c r="Z17" s="31"/>
      <c r="AA17" s="31"/>
      <c r="AB17" s="31"/>
      <c r="AC17" s="31"/>
      <c r="AD17" s="31"/>
      <c r="AE17" s="31"/>
      <c r="AF17" s="31"/>
      <c r="AG17" s="31"/>
      <c r="AH17" s="31"/>
      <c r="AI17" s="31"/>
      <c r="AJ17" s="31"/>
      <c r="AK17" s="108" t="str">
        <f>$D$18</f>
        <v>Full Cyclic</v>
      </c>
      <c r="AL17" s="108"/>
      <c r="AM17" s="108"/>
      <c r="AN17" s="108"/>
      <c r="AO17" s="108"/>
      <c r="AP17" s="108"/>
      <c r="AQ17" s="85"/>
      <c r="AR17" s="159"/>
      <c r="AS17" s="159"/>
      <c r="AT17" s="159"/>
      <c r="AU17" s="159"/>
      <c r="AV17" s="160"/>
      <c r="AW17" s="85"/>
      <c r="AX17" s="159"/>
      <c r="AY17" s="159"/>
      <c r="AZ17" s="159"/>
      <c r="BA17" s="159"/>
      <c r="BB17" s="160"/>
      <c r="BC17" s="33"/>
      <c r="BD17" s="33"/>
      <c r="BE17" s="35" t="s">
        <v>126</v>
      </c>
      <c r="BF17" s="91"/>
      <c r="CA17" s="29"/>
      <c r="CB17" s="63" t="s">
        <v>6</v>
      </c>
      <c r="CC17" s="63" t="s">
        <v>252</v>
      </c>
      <c r="CD17" s="63" t="s">
        <v>160</v>
      </c>
      <c r="CE17" s="68" t="s">
        <v>15</v>
      </c>
      <c r="CF17" s="99"/>
      <c r="CG17" s="99"/>
      <c r="CH17" s="67" t="s">
        <v>361</v>
      </c>
      <c r="CI17" s="96"/>
      <c r="CJ17" s="67" t="s">
        <v>362</v>
      </c>
      <c r="CK17" s="67" t="s">
        <v>258</v>
      </c>
      <c r="CL17" s="96"/>
    </row>
    <row r="18" spans="1:94" s="34" customFormat="1" ht="12" customHeight="1">
      <c r="A18" s="31"/>
      <c r="B18" s="31"/>
      <c r="C18" s="31"/>
      <c r="D18" s="108" t="s">
        <v>59</v>
      </c>
      <c r="E18" s="108"/>
      <c r="F18" s="108"/>
      <c r="G18" s="108"/>
      <c r="H18" s="140">
        <v>2500</v>
      </c>
      <c r="I18" s="140"/>
      <c r="J18" s="140"/>
      <c r="K18" s="140"/>
      <c r="L18" s="140">
        <v>480</v>
      </c>
      <c r="M18" s="140"/>
      <c r="N18" s="140"/>
      <c r="O18" s="140"/>
      <c r="P18" s="147">
        <f>$H$18/$L$18</f>
        <v>5.208333333333333</v>
      </c>
      <c r="Q18" s="147"/>
      <c r="R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2"/>
      <c r="BB18" s="32"/>
      <c r="BC18" s="33"/>
      <c r="BD18" s="33"/>
      <c r="BE18" s="35" t="s">
        <v>126</v>
      </c>
      <c r="BF18" s="91"/>
      <c r="CA18" s="29"/>
      <c r="CB18" s="63">
        <v>1</v>
      </c>
      <c r="CC18" s="63">
        <f>data!$D22</f>
        <v>15</v>
      </c>
      <c r="CD18" s="63">
        <f>data!$E22</f>
        <v>0</v>
      </c>
      <c r="CE18" s="70">
        <f t="shared" ref="CE18:CE48" si="0">IF($CC$3*($CC18-$CH$6)/($CH$7-$CH$6)&lt;0,0,$CC$3*($CC18-$CH$6)/($CH$7-$CH$6))</f>
        <v>0</v>
      </c>
      <c r="CF18" s="71">
        <f t="shared" ref="CF18:CF48" si="1">1-$CH$5*(1-$CG18)</f>
        <v>0.75</v>
      </c>
      <c r="CG18" s="71">
        <f t="shared" ref="CG18:CG48" si="2">IF($CE18&lt;$CH18,$CE18/$CH18,1)</f>
        <v>0</v>
      </c>
      <c r="CH18" s="72">
        <f t="shared" ref="CH18:CH48" si="3">$CC$6+($CC$11-$CC$6)/(35-29)*(35-$CC18)</f>
        <v>9886.6666691874652</v>
      </c>
      <c r="CI18" s="70">
        <f t="shared" ref="CI18:CI48" si="4">IF($CE18&lt;$CH18,$CE18*$CD18,$CH18*$CD18)</f>
        <v>0</v>
      </c>
      <c r="CJ18" s="72">
        <f t="shared" ref="CJ18:CJ48" si="5">$CC$7+($CC$12-$CC$7)/(35-29)*(35-$CC18)</f>
        <v>1685.3333333333333</v>
      </c>
      <c r="CK18" s="45">
        <f t="shared" ref="CK18:CK48" si="6">$CH18/$CJ18</f>
        <v>5.8662974698501573</v>
      </c>
      <c r="CL18" s="70">
        <f t="shared" ref="CL18:CL48" si="7">IF($CF18=0,0,($CE18/$CH18)*$CJ18*$CD18/$CF18)</f>
        <v>0</v>
      </c>
    </row>
    <row r="19" spans="1:94" s="34" customFormat="1" ht="12" customHeight="1">
      <c r="A19" s="31"/>
      <c r="B19" s="31"/>
      <c r="C19" s="31"/>
      <c r="D19" s="31"/>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2"/>
      <c r="BB19" s="32"/>
      <c r="BC19" s="33"/>
      <c r="BD19" s="33"/>
      <c r="BE19" s="35" t="s">
        <v>126</v>
      </c>
      <c r="BF19" s="91"/>
      <c r="CA19" s="29"/>
      <c r="CB19" s="63">
        <v>2</v>
      </c>
      <c r="CC19" s="63">
        <f>data!$D23</f>
        <v>16</v>
      </c>
      <c r="CD19" s="63">
        <f>data!$E23</f>
        <v>0</v>
      </c>
      <c r="CE19" s="70">
        <f t="shared" si="0"/>
        <v>0</v>
      </c>
      <c r="CF19" s="71">
        <f t="shared" si="1"/>
        <v>0.75</v>
      </c>
      <c r="CG19" s="71">
        <f t="shared" si="2"/>
        <v>0</v>
      </c>
      <c r="CH19" s="72">
        <f t="shared" si="3"/>
        <v>9828.3333356739931</v>
      </c>
      <c r="CI19" s="70">
        <f t="shared" si="4"/>
        <v>0</v>
      </c>
      <c r="CJ19" s="72">
        <f t="shared" si="5"/>
        <v>1727.6666666666665</v>
      </c>
      <c r="CK19" s="45">
        <f t="shared" si="6"/>
        <v>5.688790277256798</v>
      </c>
      <c r="CL19" s="70">
        <f t="shared" si="7"/>
        <v>0</v>
      </c>
    </row>
    <row r="20" spans="1:94" s="34" customFormat="1" ht="12" customHeight="1">
      <c r="A20" s="31"/>
      <c r="B20" s="31"/>
      <c r="C20" s="31"/>
      <c r="D20" s="31"/>
      <c r="E20" s="31"/>
      <c r="F20" s="31"/>
      <c r="G20" s="31"/>
      <c r="H20" s="31"/>
      <c r="I20" s="31"/>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2"/>
      <c r="BB20" s="32"/>
      <c r="BC20" s="33"/>
      <c r="BD20" s="33"/>
      <c r="BE20" s="35" t="s">
        <v>126</v>
      </c>
      <c r="BF20" s="91"/>
      <c r="CA20" s="29"/>
      <c r="CB20" s="63">
        <v>3</v>
      </c>
      <c r="CC20" s="63">
        <f>data!$D24</f>
        <v>17</v>
      </c>
      <c r="CD20" s="63">
        <f>data!$E24</f>
        <v>0</v>
      </c>
      <c r="CE20" s="70">
        <f t="shared" si="0"/>
        <v>0</v>
      </c>
      <c r="CF20" s="71">
        <f t="shared" si="1"/>
        <v>0.75</v>
      </c>
      <c r="CG20" s="71">
        <f t="shared" si="2"/>
        <v>0</v>
      </c>
      <c r="CH20" s="72">
        <f t="shared" si="3"/>
        <v>9770.0000021605192</v>
      </c>
      <c r="CI20" s="70">
        <f t="shared" si="4"/>
        <v>0</v>
      </c>
      <c r="CJ20" s="72">
        <f t="shared" si="5"/>
        <v>1770</v>
      </c>
      <c r="CK20" s="45">
        <f t="shared" si="6"/>
        <v>5.5197740125200676</v>
      </c>
      <c r="CL20" s="70">
        <f t="shared" si="7"/>
        <v>0</v>
      </c>
    </row>
    <row r="21" spans="1:94" s="34" customFormat="1" ht="12" customHeight="1">
      <c r="A21" s="31"/>
      <c r="B21" s="31"/>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2"/>
      <c r="BB21" s="32"/>
      <c r="BC21" s="33"/>
      <c r="BD21" s="33"/>
      <c r="BE21" s="35" t="s">
        <v>126</v>
      </c>
      <c r="BF21" s="91"/>
      <c r="CA21" s="29"/>
      <c r="CB21" s="63">
        <v>4</v>
      </c>
      <c r="CC21" s="63">
        <f>data!$D25</f>
        <v>18</v>
      </c>
      <c r="CD21" s="63">
        <f>data!$E25</f>
        <v>0</v>
      </c>
      <c r="CE21" s="70">
        <f t="shared" si="0"/>
        <v>0</v>
      </c>
      <c r="CF21" s="71">
        <f t="shared" si="1"/>
        <v>0.75</v>
      </c>
      <c r="CG21" s="71">
        <f t="shared" si="2"/>
        <v>0</v>
      </c>
      <c r="CH21" s="72">
        <f t="shared" si="3"/>
        <v>9711.6666686470453</v>
      </c>
      <c r="CI21" s="70">
        <f t="shared" si="4"/>
        <v>0</v>
      </c>
      <c r="CJ21" s="72">
        <f t="shared" si="5"/>
        <v>1812.3333333333333</v>
      </c>
      <c r="CK21" s="45">
        <f t="shared" si="6"/>
        <v>5.3586536703956478</v>
      </c>
      <c r="CL21" s="70">
        <f t="shared" si="7"/>
        <v>0</v>
      </c>
    </row>
    <row r="22" spans="1:94" s="34" customFormat="1" ht="12" customHeight="1">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2"/>
      <c r="BB22" s="32"/>
      <c r="BC22" s="33"/>
      <c r="BD22" s="33"/>
      <c r="BE22" s="35" t="s">
        <v>126</v>
      </c>
      <c r="BF22" s="91"/>
      <c r="CA22" s="29"/>
      <c r="CB22" s="63">
        <v>5</v>
      </c>
      <c r="CC22" s="63">
        <f>data!$D26</f>
        <v>19</v>
      </c>
      <c r="CD22" s="63">
        <f>data!$E26</f>
        <v>0</v>
      </c>
      <c r="CE22" s="70">
        <f t="shared" si="0"/>
        <v>0</v>
      </c>
      <c r="CF22" s="71">
        <f t="shared" si="1"/>
        <v>0.75</v>
      </c>
      <c r="CG22" s="71">
        <f t="shared" si="2"/>
        <v>0</v>
      </c>
      <c r="CH22" s="72">
        <f t="shared" si="3"/>
        <v>9653.3333351335732</v>
      </c>
      <c r="CI22" s="70">
        <f t="shared" si="4"/>
        <v>0</v>
      </c>
      <c r="CJ22" s="72">
        <f t="shared" si="5"/>
        <v>1854.6666666666665</v>
      </c>
      <c r="CK22" s="45">
        <f t="shared" si="6"/>
        <v>5.2048885703452052</v>
      </c>
      <c r="CL22" s="70">
        <f t="shared" si="7"/>
        <v>0</v>
      </c>
    </row>
    <row r="23" spans="1:94" s="34" customFormat="1" ht="12" customHeight="1">
      <c r="A23" s="31"/>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2"/>
      <c r="AO23" s="31"/>
      <c r="AP23" s="31"/>
      <c r="AQ23" s="31"/>
      <c r="AR23" s="31"/>
      <c r="AS23" s="31"/>
      <c r="AT23" s="31"/>
      <c r="AU23" s="31"/>
      <c r="AV23" s="31"/>
      <c r="AW23" s="31"/>
      <c r="AX23" s="31"/>
      <c r="AY23" s="31"/>
      <c r="AZ23" s="31"/>
      <c r="BA23" s="32"/>
      <c r="BB23" s="32"/>
      <c r="BC23" s="33"/>
      <c r="BD23" s="33"/>
      <c r="BE23" s="35" t="s">
        <v>126</v>
      </c>
      <c r="BF23" s="91"/>
      <c r="CA23" s="29"/>
      <c r="CB23" s="63">
        <v>6</v>
      </c>
      <c r="CC23" s="63">
        <f>data!$D27</f>
        <v>20</v>
      </c>
      <c r="CD23" s="63">
        <f>data!$E27</f>
        <v>0</v>
      </c>
      <c r="CE23" s="70">
        <f t="shared" si="0"/>
        <v>0</v>
      </c>
      <c r="CF23" s="71">
        <f t="shared" si="1"/>
        <v>0.75</v>
      </c>
      <c r="CG23" s="71">
        <f t="shared" si="2"/>
        <v>0</v>
      </c>
      <c r="CH23" s="72">
        <f t="shared" si="3"/>
        <v>9595.0000016200993</v>
      </c>
      <c r="CI23" s="70">
        <f t="shared" si="4"/>
        <v>0</v>
      </c>
      <c r="CJ23" s="72">
        <f t="shared" si="5"/>
        <v>1897</v>
      </c>
      <c r="CK23" s="45">
        <f t="shared" si="6"/>
        <v>5.0579862950026877</v>
      </c>
      <c r="CL23" s="70">
        <f t="shared" si="7"/>
        <v>0</v>
      </c>
    </row>
    <row r="24" spans="1:94" s="34" customFormat="1" ht="12" customHeight="1">
      <c r="A24" s="31"/>
      <c r="B24" s="31"/>
      <c r="C24" s="48" t="str">
        <f>'Variable Capacity unit'!$C$6</f>
        <v>　</v>
      </c>
      <c r="D24" s="3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2"/>
      <c r="AO24" s="31"/>
      <c r="AP24" s="31"/>
      <c r="AQ24" s="31"/>
      <c r="AR24" s="31"/>
      <c r="AS24" s="31"/>
      <c r="AT24" s="31"/>
      <c r="AU24" s="31"/>
      <c r="AV24" s="31"/>
      <c r="AW24" s="31"/>
      <c r="AX24" s="31"/>
      <c r="AY24" s="31"/>
      <c r="AZ24" s="31"/>
      <c r="BA24" s="32"/>
      <c r="BB24" s="32"/>
      <c r="BC24" s="33"/>
      <c r="BD24" s="33"/>
      <c r="BE24" s="35" t="s">
        <v>126</v>
      </c>
      <c r="BF24" s="91"/>
      <c r="CA24" s="29"/>
      <c r="CB24" s="63">
        <v>7</v>
      </c>
      <c r="CC24" s="63">
        <f>data!$D28</f>
        <v>21</v>
      </c>
      <c r="CD24" s="63">
        <f>data!$E28</f>
        <v>100</v>
      </c>
      <c r="CE24" s="70">
        <f t="shared" si="0"/>
        <v>581.33333326119998</v>
      </c>
      <c r="CF24" s="71">
        <f t="shared" si="1"/>
        <v>0.76523942676966339</v>
      </c>
      <c r="CG24" s="71">
        <f t="shared" si="2"/>
        <v>6.0957707078653278E-2</v>
      </c>
      <c r="CH24" s="72">
        <f t="shared" si="3"/>
        <v>9536.6666681066254</v>
      </c>
      <c r="CI24" s="70">
        <f t="shared" si="4"/>
        <v>58133.333326119995</v>
      </c>
      <c r="CJ24" s="72">
        <f t="shared" si="5"/>
        <v>1939.3333333333333</v>
      </c>
      <c r="CK24" s="45">
        <f t="shared" si="6"/>
        <v>4.9174974225369334</v>
      </c>
      <c r="CL24" s="70">
        <f t="shared" si="7"/>
        <v>15448.408579813664</v>
      </c>
    </row>
    <row r="25" spans="1:94" s="34" customFormat="1" ht="12" customHeight="1">
      <c r="A25" s="31"/>
      <c r="B25" s="31"/>
      <c r="C25" s="31"/>
      <c r="D25" s="31" t="str">
        <f>'Variable Capacity unit'!$D$31</f>
        <v>Standard Condition ( 46℃ ）</v>
      </c>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48" t="str">
        <f>'Variable Capacity unit'!$AI$31</f>
        <v>Select test item</v>
      </c>
      <c r="AJ25" s="31"/>
      <c r="AK25" s="31"/>
      <c r="AL25" s="31"/>
      <c r="AM25" s="31"/>
      <c r="AN25" s="31"/>
      <c r="AO25" s="31"/>
      <c r="AP25" s="31"/>
      <c r="AQ25" s="31"/>
      <c r="AR25" s="31"/>
      <c r="AS25" s="31"/>
      <c r="AT25" s="31"/>
      <c r="AU25" s="31"/>
      <c r="AV25" s="31"/>
      <c r="AW25" s="31"/>
      <c r="AX25" s="31"/>
      <c r="AY25" s="31"/>
      <c r="AZ25" s="31"/>
      <c r="BA25" s="32"/>
      <c r="BB25" s="32"/>
      <c r="BC25" s="33"/>
      <c r="BD25" s="33"/>
      <c r="BE25" s="35" t="s">
        <v>126</v>
      </c>
      <c r="BF25" s="91"/>
      <c r="CA25" s="29"/>
      <c r="CB25" s="63">
        <v>8</v>
      </c>
      <c r="CC25" s="63">
        <f>data!$D29</f>
        <v>22</v>
      </c>
      <c r="CD25" s="63">
        <f>data!$E29</f>
        <v>139</v>
      </c>
      <c r="CE25" s="70">
        <f t="shared" si="0"/>
        <v>1162.6666665224</v>
      </c>
      <c r="CF25" s="71">
        <f t="shared" si="1"/>
        <v>0.78066643220593979</v>
      </c>
      <c r="CG25" s="71">
        <f t="shared" si="2"/>
        <v>0.12266572882375909</v>
      </c>
      <c r="CH25" s="72">
        <f t="shared" si="3"/>
        <v>9478.3333345931533</v>
      </c>
      <c r="CI25" s="70">
        <f t="shared" si="4"/>
        <v>161610.66664661359</v>
      </c>
      <c r="CJ25" s="72">
        <f t="shared" si="5"/>
        <v>1981.6666666666665</v>
      </c>
      <c r="CK25" s="45">
        <f t="shared" si="6"/>
        <v>4.7830109341933493</v>
      </c>
      <c r="CL25" s="70">
        <f t="shared" si="7"/>
        <v>43281.583597631121</v>
      </c>
    </row>
    <row r="26" spans="1:94" s="34" customFormat="1" ht="12" customHeight="1">
      <c r="A26" s="31"/>
      <c r="B26" s="31"/>
      <c r="C26" s="31"/>
      <c r="D26" s="31"/>
      <c r="E26" s="31"/>
      <c r="F26" s="31"/>
      <c r="G26" s="31"/>
      <c r="H26" s="154" t="str">
        <f>'Variable Capacity unit'!$H$8</f>
        <v>Capacity [W]</v>
      </c>
      <c r="I26" s="154"/>
      <c r="J26" s="154"/>
      <c r="K26" s="154"/>
      <c r="L26" s="154" t="str">
        <f>'Variable Capacity unit'!$L$8</f>
        <v>Power [W]</v>
      </c>
      <c r="M26" s="154"/>
      <c r="N26" s="154"/>
      <c r="O26" s="154"/>
      <c r="P26" s="103" t="str">
        <f>'Variable Capacity unit'!$P$8</f>
        <v>EER</v>
      </c>
      <c r="Q26" s="104"/>
      <c r="R26" s="31"/>
      <c r="S26" s="31"/>
      <c r="T26" s="31"/>
      <c r="U26" s="31"/>
      <c r="V26" s="31"/>
      <c r="W26" s="31"/>
      <c r="X26" s="31"/>
      <c r="Y26" s="31"/>
      <c r="Z26" s="31"/>
      <c r="AA26" s="31"/>
      <c r="AB26" s="31"/>
      <c r="AC26" s="31"/>
      <c r="AD26" s="31"/>
      <c r="AE26" s="31"/>
      <c r="AF26" s="31"/>
      <c r="AG26" s="31"/>
      <c r="AH26" s="31"/>
      <c r="AI26" s="31"/>
      <c r="AJ26" s="31"/>
      <c r="AK26" s="108" t="str">
        <f>'Variable Capacity unit'!$AK$32</f>
        <v>Test</v>
      </c>
      <c r="AL26" s="108"/>
      <c r="AM26" s="108"/>
      <c r="AN26" s="108"/>
      <c r="AO26" s="108"/>
      <c r="AP26" s="108"/>
      <c r="AQ26" s="54"/>
      <c r="AR26" s="55" t="str">
        <f>'Variable Capacity unit'!$AR$32</f>
        <v>Required test only</v>
      </c>
      <c r="AS26" s="55"/>
      <c r="AT26" s="55"/>
      <c r="AU26" s="55"/>
      <c r="AV26" s="56"/>
      <c r="AW26" s="57"/>
      <c r="AX26" s="58" t="str">
        <f>'Variable Capacity unit'!$AX$32</f>
        <v>With Optional test</v>
      </c>
      <c r="AY26" s="58"/>
      <c r="AZ26" s="58"/>
      <c r="BA26" s="58"/>
      <c r="BB26" s="59"/>
      <c r="BC26" s="81">
        <v>1</v>
      </c>
      <c r="BD26" s="33" t="str">
        <f>IF($BC$26=2,"Optional test","Required test")</f>
        <v>Required test</v>
      </c>
      <c r="BE26" s="35" t="s">
        <v>126</v>
      </c>
      <c r="BF26" s="91"/>
      <c r="CA26" s="29"/>
      <c r="CB26" s="63">
        <v>9</v>
      </c>
      <c r="CC26" s="63">
        <f>data!$D30</f>
        <v>23</v>
      </c>
      <c r="CD26" s="63">
        <f>data!$E30</f>
        <v>165</v>
      </c>
      <c r="CE26" s="70">
        <f t="shared" si="0"/>
        <v>1743.9999997835998</v>
      </c>
      <c r="CF26" s="71">
        <f t="shared" si="1"/>
        <v>0.79628450105052306</v>
      </c>
      <c r="CG26" s="71">
        <f t="shared" si="2"/>
        <v>0.18513800420209237</v>
      </c>
      <c r="CH26" s="72">
        <f t="shared" si="3"/>
        <v>9420.0000010796794</v>
      </c>
      <c r="CI26" s="70">
        <f t="shared" si="4"/>
        <v>287759.99996429397</v>
      </c>
      <c r="CJ26" s="72">
        <f t="shared" si="5"/>
        <v>2024</v>
      </c>
      <c r="CK26" s="45">
        <f t="shared" si="6"/>
        <v>4.6541501981618971</v>
      </c>
      <c r="CL26" s="70">
        <f t="shared" si="7"/>
        <v>77646.479118658404</v>
      </c>
    </row>
    <row r="27" spans="1:94" s="34" customFormat="1" ht="12" customHeight="1">
      <c r="A27" s="31"/>
      <c r="B27" s="31"/>
      <c r="C27" s="31"/>
      <c r="D27" s="123" t="str">
        <f>'Variable Capacity unit'!$D$33</f>
        <v>Full</v>
      </c>
      <c r="E27" s="124"/>
      <c r="F27" s="124"/>
      <c r="G27" s="125"/>
      <c r="H27" s="134">
        <v>4800</v>
      </c>
      <c r="I27" s="134"/>
      <c r="J27" s="134"/>
      <c r="K27" s="134"/>
      <c r="L27" s="134">
        <v>1850</v>
      </c>
      <c r="M27" s="134"/>
      <c r="N27" s="134"/>
      <c r="O27" s="134"/>
      <c r="P27" s="111">
        <f>$H$27/$L$27</f>
        <v>2.5945945945945947</v>
      </c>
      <c r="Q27" s="111"/>
      <c r="R27" s="31"/>
      <c r="S27" s="31"/>
      <c r="T27" s="31"/>
      <c r="U27" s="31"/>
      <c r="V27" s="31"/>
      <c r="W27" s="31"/>
      <c r="X27" s="31"/>
      <c r="Y27" s="31"/>
      <c r="Z27" s="31"/>
      <c r="AA27" s="31"/>
      <c r="AB27" s="31"/>
      <c r="AC27" s="31"/>
      <c r="AD27" s="31"/>
      <c r="AE27" s="31"/>
      <c r="AF27" s="31"/>
      <c r="AG27" s="31"/>
      <c r="AH27" s="31"/>
      <c r="AI27" s="31" t="str">
        <f>'Variable Capacity unit'!$AI$33</f>
        <v>Measurement point</v>
      </c>
      <c r="AJ27" s="31"/>
      <c r="AK27" s="31"/>
      <c r="AL27" s="31"/>
      <c r="AM27" s="31"/>
      <c r="AN27" s="31"/>
      <c r="AO27" s="31"/>
      <c r="AP27" s="31"/>
      <c r="AQ27" s="31"/>
      <c r="AR27" s="31"/>
      <c r="AS27" s="31"/>
      <c r="AT27" s="31"/>
      <c r="AU27" s="31"/>
      <c r="AV27" s="31"/>
      <c r="AW27" s="31"/>
      <c r="AX27" s="31"/>
      <c r="AY27" s="31"/>
      <c r="AZ27" s="31"/>
      <c r="BA27" s="32"/>
      <c r="BB27" s="32"/>
      <c r="BC27" s="33"/>
      <c r="BD27" s="33"/>
      <c r="BE27" s="35" t="s">
        <v>126</v>
      </c>
      <c r="BF27" s="91"/>
      <c r="CA27" s="29"/>
      <c r="CB27" s="63">
        <v>10</v>
      </c>
      <c r="CC27" s="63">
        <f>data!$D31</f>
        <v>24</v>
      </c>
      <c r="CD27" s="63">
        <f>data!$E31</f>
        <v>196</v>
      </c>
      <c r="CE27" s="70">
        <f t="shared" si="0"/>
        <v>2325.3333330447999</v>
      </c>
      <c r="CF27" s="71">
        <f t="shared" si="1"/>
        <v>0.81209720489998305</v>
      </c>
      <c r="CG27" s="71">
        <f t="shared" si="2"/>
        <v>0.24838881959993211</v>
      </c>
      <c r="CH27" s="72">
        <f t="shared" si="3"/>
        <v>9361.6666675662054</v>
      </c>
      <c r="CI27" s="70">
        <f t="shared" si="4"/>
        <v>455765.33327678079</v>
      </c>
      <c r="CJ27" s="72">
        <f t="shared" si="5"/>
        <v>2066.3333333333335</v>
      </c>
      <c r="CK27" s="45">
        <f t="shared" si="6"/>
        <v>4.5305694471202802</v>
      </c>
      <c r="CL27" s="70">
        <f t="shared" si="7"/>
        <v>123874.09107688633</v>
      </c>
    </row>
    <row r="28" spans="1:94"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t="s">
        <v>111</v>
      </c>
      <c r="W28" s="31"/>
      <c r="X28" s="31"/>
      <c r="Y28" s="31"/>
      <c r="Z28" s="31"/>
      <c r="AA28" s="31"/>
      <c r="AB28" s="31"/>
      <c r="AC28" s="31"/>
      <c r="AD28" s="31"/>
      <c r="AE28" s="31"/>
      <c r="AF28" s="31"/>
      <c r="AG28" s="31"/>
      <c r="AH28" s="31"/>
      <c r="AI28" s="31"/>
      <c r="AJ28" s="31"/>
      <c r="AK28" s="108" t="str">
        <f>'Variable Capacity unit'!$AK$34</f>
        <v>Full Performance</v>
      </c>
      <c r="AL28" s="108"/>
      <c r="AM28" s="108"/>
      <c r="AN28" s="108"/>
      <c r="AO28" s="108"/>
      <c r="AP28" s="108"/>
      <c r="AQ28" s="105" t="s">
        <v>44</v>
      </c>
      <c r="AR28" s="105"/>
      <c r="AS28" s="105"/>
      <c r="AT28" s="105"/>
      <c r="AU28" s="105"/>
      <c r="AV28" s="105"/>
      <c r="AW28" s="105"/>
      <c r="AX28" s="105"/>
      <c r="AY28" s="105"/>
      <c r="AZ28" s="105"/>
      <c r="BA28" s="105"/>
      <c r="BB28" s="105"/>
      <c r="BC28" s="33"/>
      <c r="BD28" s="33"/>
      <c r="BE28" s="35" t="s">
        <v>126</v>
      </c>
      <c r="BF28" s="91"/>
      <c r="CA28" s="29"/>
      <c r="CB28" s="63">
        <v>11</v>
      </c>
      <c r="CC28" s="63">
        <f>data!$D32</f>
        <v>25</v>
      </c>
      <c r="CD28" s="63">
        <f>data!$E32</f>
        <v>210</v>
      </c>
      <c r="CE28" s="70">
        <f t="shared" si="0"/>
        <v>2906.666666306</v>
      </c>
      <c r="CF28" s="71">
        <f t="shared" si="1"/>
        <v>0.82810820492873261</v>
      </c>
      <c r="CG28" s="71">
        <f t="shared" si="2"/>
        <v>0.31243281971493042</v>
      </c>
      <c r="CH28" s="72">
        <f t="shared" si="3"/>
        <v>9303.3333340527333</v>
      </c>
      <c r="CI28" s="70">
        <f t="shared" si="4"/>
        <v>610399.99992425996</v>
      </c>
      <c r="CJ28" s="72">
        <f t="shared" si="5"/>
        <v>2108.6666666666665</v>
      </c>
      <c r="CK28" s="45">
        <f t="shared" si="6"/>
        <v>4.4119506800755932</v>
      </c>
      <c r="CL28" s="70">
        <f t="shared" si="7"/>
        <v>167069.35205173105</v>
      </c>
    </row>
    <row r="29" spans="1:94" s="34" customFormat="1" ht="12" customHeight="1">
      <c r="A29" s="31"/>
      <c r="B29" s="31"/>
      <c r="C29" s="31"/>
      <c r="D29" s="31" t="str">
        <f>'Variable Capacity unit'!$D$37</f>
        <v>Medium Condition ( 35℃ ）</v>
      </c>
      <c r="E29" s="31"/>
      <c r="F29" s="31"/>
      <c r="G29" s="31"/>
      <c r="H29" s="31"/>
      <c r="I29" s="31"/>
      <c r="J29" s="31"/>
      <c r="K29" s="31"/>
      <c r="L29" s="31"/>
      <c r="M29" s="31"/>
      <c r="N29" s="31"/>
      <c r="O29" s="31"/>
      <c r="P29" s="31"/>
      <c r="Q29" s="31"/>
      <c r="R29" s="31"/>
      <c r="S29" s="31"/>
      <c r="T29" s="31"/>
      <c r="U29" s="31"/>
      <c r="V29" s="31"/>
      <c r="W29" s="64"/>
      <c r="X29" s="31"/>
      <c r="Y29" s="108" t="str">
        <f>data!$I$7</f>
        <v>International</v>
      </c>
      <c r="Z29" s="108"/>
      <c r="AA29" s="108"/>
      <c r="AB29" s="108"/>
      <c r="AC29" s="108" t="str">
        <f>data!$K$7</f>
        <v>CUSTOM</v>
      </c>
      <c r="AD29" s="108"/>
      <c r="AE29" s="108"/>
      <c r="AF29" s="108"/>
      <c r="AG29" s="31"/>
      <c r="AH29" s="31"/>
      <c r="AI29" s="31"/>
      <c r="AJ29" s="31"/>
      <c r="AK29" s="31"/>
      <c r="AL29" s="31"/>
      <c r="AM29" s="31"/>
      <c r="AN29" s="31"/>
      <c r="AO29" s="31"/>
      <c r="AP29" s="31"/>
      <c r="AQ29" s="31"/>
      <c r="AR29" s="31"/>
      <c r="AS29" s="31"/>
      <c r="AT29" s="31"/>
      <c r="AU29" s="31"/>
      <c r="AV29" s="31"/>
      <c r="AW29" s="31"/>
      <c r="AX29" s="31"/>
      <c r="AY29" s="31"/>
      <c r="AZ29" s="31"/>
      <c r="BA29" s="32"/>
      <c r="BB29" s="32"/>
      <c r="BC29" s="33"/>
      <c r="BD29" s="33"/>
      <c r="BE29" s="35" t="s">
        <v>126</v>
      </c>
      <c r="BF29" s="91"/>
      <c r="CA29" s="29"/>
      <c r="CB29" s="63">
        <v>12</v>
      </c>
      <c r="CC29" s="63">
        <f>data!$D33</f>
        <v>26</v>
      </c>
      <c r="CD29" s="63">
        <f>data!$E33</f>
        <v>215</v>
      </c>
      <c r="CE29" s="70">
        <f t="shared" si="0"/>
        <v>3487.9999995671997</v>
      </c>
      <c r="CF29" s="71">
        <f t="shared" si="1"/>
        <v>0.84432125471508235</v>
      </c>
      <c r="CG29" s="71">
        <f t="shared" si="2"/>
        <v>0.37728501886032939</v>
      </c>
      <c r="CH29" s="72">
        <f t="shared" si="3"/>
        <v>9245.0000005392594</v>
      </c>
      <c r="CI29" s="70">
        <f t="shared" si="4"/>
        <v>749919.99990694795</v>
      </c>
      <c r="CJ29" s="72">
        <f t="shared" si="5"/>
        <v>2151</v>
      </c>
      <c r="CK29" s="45">
        <f t="shared" si="6"/>
        <v>4.2980009300507946</v>
      </c>
      <c r="CL29" s="70">
        <f t="shared" si="7"/>
        <v>206652.52150512446</v>
      </c>
    </row>
    <row r="30" spans="1:94" ht="12" customHeight="1">
      <c r="A30" s="31"/>
      <c r="B30" s="31"/>
      <c r="C30" s="31"/>
      <c r="D30" s="31"/>
      <c r="E30" s="31"/>
      <c r="F30" s="31"/>
      <c r="G30" s="31"/>
      <c r="H30" s="154" t="str">
        <f>'Variable Capacity unit'!$H$8</f>
        <v>Capacity [W]</v>
      </c>
      <c r="I30" s="154"/>
      <c r="J30" s="154"/>
      <c r="K30" s="154"/>
      <c r="L30" s="154" t="str">
        <f>'Variable Capacity unit'!$L$8</f>
        <v>Power [W]</v>
      </c>
      <c r="M30" s="154"/>
      <c r="N30" s="154"/>
      <c r="O30" s="154"/>
      <c r="P30" s="103" t="str">
        <f>'Variable Capacity unit'!$P$8</f>
        <v>EER</v>
      </c>
      <c r="Q30" s="104"/>
      <c r="R30" s="31"/>
      <c r="S30" s="31"/>
      <c r="T30" s="31"/>
      <c r="U30" s="108" t="str">
        <f>'Variable Capacity unit'!$U$38</f>
        <v>CSTL [ kWh ]</v>
      </c>
      <c r="V30" s="108"/>
      <c r="W30" s="108"/>
      <c r="X30" s="108"/>
      <c r="Y30" s="126">
        <f>'Fixed Capacity unit'!$CI$163/1000</f>
        <v>12655.753846153848</v>
      </c>
      <c r="Z30" s="126"/>
      <c r="AA30" s="126"/>
      <c r="AB30" s="126"/>
      <c r="AC30" s="163">
        <f>'Fixed Capacity unit'!CI223/1000</f>
        <v>12655.753846153848</v>
      </c>
      <c r="AD30" s="163"/>
      <c r="AE30" s="163"/>
      <c r="AF30" s="163"/>
      <c r="AG30" s="31"/>
      <c r="AH30" s="31"/>
      <c r="AI30" s="31" t="str">
        <f>'Variable Capacity unit'!$AI$38</f>
        <v>(46℃）</v>
      </c>
      <c r="AJ30" s="31"/>
      <c r="AK30" s="109" t="str">
        <f>'Variable Capacity unit'!$AK$38</f>
        <v>Full</v>
      </c>
      <c r="AL30" s="109"/>
      <c r="AM30" s="109"/>
      <c r="AN30" s="109"/>
      <c r="AO30" s="109"/>
      <c r="AP30" s="109"/>
      <c r="AQ30" s="105" t="s">
        <v>44</v>
      </c>
      <c r="AR30" s="105"/>
      <c r="AS30" s="105"/>
      <c r="AT30" s="105"/>
      <c r="AU30" s="105"/>
      <c r="AV30" s="105"/>
      <c r="AW30" s="105"/>
      <c r="AX30" s="105"/>
      <c r="AY30" s="105"/>
      <c r="AZ30" s="105"/>
      <c r="BA30" s="105"/>
      <c r="BB30" s="105"/>
      <c r="BC30" s="33"/>
      <c r="BD30" s="33"/>
      <c r="BE30" s="35" t="s">
        <v>126</v>
      </c>
      <c r="BF30" s="93"/>
      <c r="BU30" s="88"/>
      <c r="BV30" s="88"/>
      <c r="CB30" s="63">
        <v>13</v>
      </c>
      <c r="CC30" s="63">
        <f>data!$D34</f>
        <v>27</v>
      </c>
      <c r="CD30" s="63">
        <f>data!$E34</f>
        <v>210</v>
      </c>
      <c r="CE30" s="70">
        <f t="shared" si="0"/>
        <v>4069.3333328283998</v>
      </c>
      <c r="CF30" s="71">
        <f t="shared" si="1"/>
        <v>0.86074020317496347</v>
      </c>
      <c r="CG30" s="71">
        <f t="shared" si="2"/>
        <v>0.44296081269985388</v>
      </c>
      <c r="CH30" s="72">
        <f t="shared" si="3"/>
        <v>9186.6666670257855</v>
      </c>
      <c r="CI30" s="70">
        <f t="shared" si="4"/>
        <v>854559.99989396392</v>
      </c>
      <c r="CJ30" s="72">
        <f t="shared" si="5"/>
        <v>2193.3333333333335</v>
      </c>
      <c r="CK30" s="45">
        <f t="shared" si="6"/>
        <v>4.1884498481880481</v>
      </c>
      <c r="CL30" s="70">
        <f t="shared" si="7"/>
        <v>237037.55160612593</v>
      </c>
      <c r="CN30" s="34"/>
      <c r="CO30" s="34"/>
      <c r="CP30" s="34"/>
    </row>
    <row r="31" spans="1:94" ht="12" customHeight="1">
      <c r="A31" s="31"/>
      <c r="B31" s="31"/>
      <c r="C31" s="31"/>
      <c r="D31" s="123" t="str">
        <f>'Variable Capacity unit'!$D$39</f>
        <v>Full</v>
      </c>
      <c r="E31" s="124"/>
      <c r="F31" s="124"/>
      <c r="G31" s="125"/>
      <c r="H31" s="134">
        <v>5500</v>
      </c>
      <c r="I31" s="134"/>
      <c r="J31" s="134"/>
      <c r="K31" s="134"/>
      <c r="L31" s="134">
        <v>1520</v>
      </c>
      <c r="M31" s="134"/>
      <c r="N31" s="134"/>
      <c r="O31" s="134"/>
      <c r="P31" s="111">
        <f>$H$31/$L$31</f>
        <v>3.6184210526315788</v>
      </c>
      <c r="Q31" s="111"/>
      <c r="R31" s="31"/>
      <c r="S31" s="31"/>
      <c r="T31" s="31"/>
      <c r="U31" s="108" t="str">
        <f>'Variable Capacity unit'!$U$39</f>
        <v>CSEC [ kWh ]</v>
      </c>
      <c r="V31" s="108"/>
      <c r="W31" s="108"/>
      <c r="X31" s="108"/>
      <c r="Y31" s="126">
        <f>'Fixed Capacity unit'!$CL$163/1000</f>
        <v>4009.0377480250231</v>
      </c>
      <c r="Z31" s="126"/>
      <c r="AA31" s="126"/>
      <c r="AB31" s="126"/>
      <c r="AC31" s="163">
        <f>'Fixed Capacity unit'!CL223/1000</f>
        <v>4009.0377480250231</v>
      </c>
      <c r="AD31" s="163"/>
      <c r="AE31" s="163"/>
      <c r="AF31" s="163"/>
      <c r="AG31" s="31"/>
      <c r="AH31" s="31"/>
      <c r="AI31" s="31"/>
      <c r="AJ31" s="31"/>
      <c r="AK31" s="31"/>
      <c r="AL31" s="31"/>
      <c r="AM31" s="31"/>
      <c r="AN31" s="31"/>
      <c r="AO31" s="31"/>
      <c r="AP31" s="31"/>
      <c r="AQ31" s="31"/>
      <c r="AR31" s="31"/>
      <c r="AS31" s="31"/>
      <c r="AT31" s="31"/>
      <c r="AU31" s="31"/>
      <c r="AV31" s="31"/>
      <c r="AW31" s="31"/>
      <c r="AX31" s="31"/>
      <c r="AY31" s="31"/>
      <c r="AZ31" s="31"/>
      <c r="BA31" s="76"/>
      <c r="BB31" s="76"/>
      <c r="BC31" s="33"/>
      <c r="BD31" s="33"/>
      <c r="BE31" s="35" t="s">
        <v>126</v>
      </c>
      <c r="BF31" s="93"/>
      <c r="BU31" s="88"/>
      <c r="BV31" s="88"/>
      <c r="CB31" s="63">
        <v>14</v>
      </c>
      <c r="CC31" s="63">
        <f>data!$D35</f>
        <v>28</v>
      </c>
      <c r="CD31" s="63">
        <f>data!$E35</f>
        <v>181</v>
      </c>
      <c r="CE31" s="70">
        <f t="shared" si="0"/>
        <v>4650.6666660895999</v>
      </c>
      <c r="CF31" s="71">
        <f t="shared" si="1"/>
        <v>0.87736899760813625</v>
      </c>
      <c r="CG31" s="71">
        <f t="shared" si="2"/>
        <v>0.50947599043254488</v>
      </c>
      <c r="CH31" s="72">
        <f t="shared" si="3"/>
        <v>9128.3333335123134</v>
      </c>
      <c r="CI31" s="70">
        <f t="shared" si="4"/>
        <v>841770.66656221752</v>
      </c>
      <c r="CJ31" s="72">
        <f t="shared" si="5"/>
        <v>2235.6666666666665</v>
      </c>
      <c r="CK31" s="45">
        <f t="shared" si="6"/>
        <v>4.0830475623284546</v>
      </c>
      <c r="CL31" s="70">
        <f t="shared" si="7"/>
        <v>234977.92504770157</v>
      </c>
      <c r="CN31" s="34"/>
      <c r="CO31" s="34"/>
      <c r="CP31" s="34"/>
    </row>
    <row r="32" spans="1:94" ht="12" customHeight="1">
      <c r="A32" s="31"/>
      <c r="B32" s="31"/>
      <c r="C32" s="31"/>
      <c r="D32" s="31"/>
      <c r="E32" s="31"/>
      <c r="F32" s="31"/>
      <c r="G32" s="31"/>
      <c r="H32" s="31"/>
      <c r="I32" s="31"/>
      <c r="J32" s="31"/>
      <c r="K32" s="31"/>
      <c r="L32" s="31"/>
      <c r="M32" s="31"/>
      <c r="N32" s="31"/>
      <c r="O32" s="31"/>
      <c r="P32" s="31"/>
      <c r="Q32" s="31"/>
      <c r="R32" s="31"/>
      <c r="S32" s="31"/>
      <c r="T32" s="31"/>
      <c r="U32" s="108" t="str">
        <f>'Variable Capacity unit'!$U$40</f>
        <v>CSPF</v>
      </c>
      <c r="V32" s="108"/>
      <c r="W32" s="108"/>
      <c r="X32" s="108"/>
      <c r="Y32" s="111">
        <f>'Fixed Capacity unit'!$CF$112</f>
        <v>3.156805857562321</v>
      </c>
      <c r="Z32" s="111"/>
      <c r="AA32" s="111"/>
      <c r="AB32" s="111"/>
      <c r="AC32" s="147">
        <f>'Fixed Capacity unit'!CF172</f>
        <v>3.156805857562321</v>
      </c>
      <c r="AD32" s="147"/>
      <c r="AE32" s="147"/>
      <c r="AF32" s="147"/>
      <c r="AG32" s="31"/>
      <c r="AH32" s="31"/>
      <c r="AI32" s="31" t="str">
        <f>'Variable Capacity unit'!$AI$41</f>
        <v>(35℃）</v>
      </c>
      <c r="AJ32" s="31"/>
      <c r="AK32" s="109" t="str">
        <f>'Variable Capacity unit'!$AK$41</f>
        <v>Full</v>
      </c>
      <c r="AL32" s="109"/>
      <c r="AM32" s="109"/>
      <c r="AN32" s="109"/>
      <c r="AO32" s="109"/>
      <c r="AP32" s="109"/>
      <c r="AQ32" s="105" t="s">
        <v>44</v>
      </c>
      <c r="AR32" s="105"/>
      <c r="AS32" s="105"/>
      <c r="AT32" s="105"/>
      <c r="AU32" s="105"/>
      <c r="AV32" s="105"/>
      <c r="AW32" s="105"/>
      <c r="AX32" s="105"/>
      <c r="AY32" s="105"/>
      <c r="AZ32" s="105"/>
      <c r="BA32" s="105"/>
      <c r="BB32" s="105"/>
      <c r="BC32" s="33"/>
      <c r="BD32" s="33"/>
      <c r="BE32" s="35" t="s">
        <v>126</v>
      </c>
      <c r="BF32" s="93"/>
      <c r="BU32" s="88"/>
      <c r="BV32" s="88"/>
      <c r="CB32" s="63">
        <v>15</v>
      </c>
      <c r="CC32" s="63">
        <f>data!$D36</f>
        <v>29</v>
      </c>
      <c r="CD32" s="63">
        <f>data!$E36</f>
        <v>150</v>
      </c>
      <c r="CE32" s="70">
        <f t="shared" si="0"/>
        <v>5231.9999993508</v>
      </c>
      <c r="CF32" s="71">
        <f t="shared" si="1"/>
        <v>0.89421168686194785</v>
      </c>
      <c r="CG32" s="71">
        <f t="shared" si="2"/>
        <v>0.57684674744779152</v>
      </c>
      <c r="CH32" s="72">
        <f t="shared" si="3"/>
        <v>9069.9999999988395</v>
      </c>
      <c r="CI32" s="70">
        <f t="shared" si="4"/>
        <v>784799.99990261998</v>
      </c>
      <c r="CJ32" s="72">
        <f t="shared" si="5"/>
        <v>2278</v>
      </c>
      <c r="CK32" s="45">
        <f t="shared" si="6"/>
        <v>3.9815627743629673</v>
      </c>
      <c r="CL32" s="70">
        <f t="shared" si="7"/>
        <v>220427.14996783619</v>
      </c>
      <c r="CN32" s="34"/>
      <c r="CO32" s="34"/>
      <c r="CP32" s="34"/>
    </row>
    <row r="33" spans="1:94" ht="12" customHeight="1">
      <c r="A33" s="31"/>
      <c r="B33" s="31"/>
      <c r="C33" s="31"/>
      <c r="D33" s="31" t="str">
        <f>'Variable Capacity unit'!$D$43</f>
        <v>Medium condition ( 29℃ ）</v>
      </c>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76"/>
      <c r="BB33" s="76"/>
      <c r="BC33" s="33"/>
      <c r="BD33" s="33"/>
      <c r="BE33" s="35" t="s">
        <v>126</v>
      </c>
      <c r="BF33" s="93"/>
      <c r="BU33" s="88"/>
      <c r="BV33" s="88"/>
      <c r="CB33" s="63">
        <v>16</v>
      </c>
      <c r="CC33" s="63">
        <f>data!$D37</f>
        <v>30</v>
      </c>
      <c r="CD33" s="63">
        <f>data!$E37</f>
        <v>120</v>
      </c>
      <c r="CE33" s="70">
        <f t="shared" si="0"/>
        <v>5813.333332612</v>
      </c>
      <c r="CF33" s="71">
        <f t="shared" si="1"/>
        <v>0.9112724246179662</v>
      </c>
      <c r="CG33" s="71">
        <f t="shared" si="2"/>
        <v>0.64508969847186481</v>
      </c>
      <c r="CH33" s="72">
        <f t="shared" si="3"/>
        <v>9011.6666664853656</v>
      </c>
      <c r="CI33" s="70">
        <f t="shared" si="4"/>
        <v>697599.99991343997</v>
      </c>
      <c r="CJ33" s="72">
        <f t="shared" si="5"/>
        <v>2320.3333333333335</v>
      </c>
      <c r="CK33" s="45">
        <f t="shared" si="6"/>
        <v>3.8837810658606657</v>
      </c>
      <c r="CL33" s="70">
        <f t="shared" si="7"/>
        <v>197107.66044282293</v>
      </c>
      <c r="CN33" s="34"/>
      <c r="CO33" s="34"/>
      <c r="CP33" s="34"/>
    </row>
    <row r="34" spans="1:94" ht="12" customHeight="1">
      <c r="A34" s="31"/>
      <c r="B34" s="31"/>
      <c r="C34" s="31"/>
      <c r="D34" s="31"/>
      <c r="E34" s="31"/>
      <c r="F34" s="31"/>
      <c r="G34" s="31"/>
      <c r="H34" s="154" t="str">
        <f>'Variable Capacity unit'!$H$8</f>
        <v>Capacity [W]</v>
      </c>
      <c r="I34" s="154"/>
      <c r="J34" s="154"/>
      <c r="K34" s="154"/>
      <c r="L34" s="154" t="str">
        <f>'Variable Capacity unit'!$L$8</f>
        <v>Power [W]</v>
      </c>
      <c r="M34" s="154"/>
      <c r="N34" s="154"/>
      <c r="O34" s="154"/>
      <c r="P34" s="103" t="str">
        <f>'Variable Capacity unit'!$P$8</f>
        <v>EER</v>
      </c>
      <c r="Q34" s="104"/>
      <c r="R34" s="31"/>
      <c r="S34" s="31"/>
      <c r="T34" s="31"/>
      <c r="U34" s="108" t="str">
        <f>'Variable Capacity unit'!$U$42</f>
        <v>CD</v>
      </c>
      <c r="V34" s="108"/>
      <c r="W34" s="108"/>
      <c r="X34" s="108"/>
      <c r="Y34" s="147">
        <f>'Fixed Capacity unit'!CH114</f>
        <v>0.27</v>
      </c>
      <c r="Z34" s="147"/>
      <c r="AA34" s="147"/>
      <c r="AB34" s="147"/>
      <c r="AC34" s="147">
        <f>'Fixed Capacity unit'!CH174</f>
        <v>0.27</v>
      </c>
      <c r="AD34" s="108"/>
      <c r="AE34" s="108"/>
      <c r="AF34" s="108"/>
      <c r="AG34" s="31"/>
      <c r="AH34" s="31"/>
      <c r="AI34" s="31" t="str">
        <f>'Variable Capacity unit'!$AI$44</f>
        <v>(29℃）</v>
      </c>
      <c r="AJ34" s="31"/>
      <c r="AK34" s="109" t="str">
        <f>'Variable Capacity unit'!$AK$44</f>
        <v>Full</v>
      </c>
      <c r="AL34" s="109"/>
      <c r="AM34" s="109"/>
      <c r="AN34" s="109"/>
      <c r="AO34" s="109"/>
      <c r="AP34" s="109"/>
      <c r="AQ34" s="57"/>
      <c r="AR34" s="101" t="s">
        <v>112</v>
      </c>
      <c r="AS34" s="101"/>
      <c r="AT34" s="101"/>
      <c r="AU34" s="101"/>
      <c r="AV34" s="102"/>
      <c r="AW34" s="57"/>
      <c r="AX34" s="101" t="s">
        <v>113</v>
      </c>
      <c r="AY34" s="101"/>
      <c r="AZ34" s="101"/>
      <c r="BA34" s="101"/>
      <c r="BB34" s="102"/>
      <c r="BC34" s="81">
        <v>1</v>
      </c>
      <c r="BD34" s="33" t="str">
        <f>IF($BC$26=2,IF($BC$34=2,"Measure","Default"),"Default")</f>
        <v>Default</v>
      </c>
      <c r="BE34" s="35" t="s">
        <v>126</v>
      </c>
      <c r="BF34" s="93"/>
      <c r="BU34" s="88"/>
      <c r="BV34" s="88"/>
      <c r="CB34" s="63">
        <v>17</v>
      </c>
      <c r="CC34" s="63">
        <f>data!$D38</f>
        <v>31</v>
      </c>
      <c r="CD34" s="63">
        <f>data!$E38</f>
        <v>75</v>
      </c>
      <c r="CE34" s="70">
        <f t="shared" si="0"/>
        <v>6394.6666658731992</v>
      </c>
      <c r="CF34" s="71">
        <f t="shared" si="1"/>
        <v>0.92855547280709272</v>
      </c>
      <c r="CG34" s="71">
        <f t="shared" si="2"/>
        <v>0.71422189122837088</v>
      </c>
      <c r="CH34" s="72">
        <f t="shared" si="3"/>
        <v>8953.3333329718935</v>
      </c>
      <c r="CI34" s="70">
        <f t="shared" si="4"/>
        <v>479599.99994048994</v>
      </c>
      <c r="CJ34" s="72">
        <f t="shared" si="5"/>
        <v>2362.6666666666665</v>
      </c>
      <c r="CK34" s="45">
        <f t="shared" si="6"/>
        <v>3.7895033858515355</v>
      </c>
      <c r="CL34" s="70">
        <f t="shared" si="7"/>
        <v>136297.85492843698</v>
      </c>
      <c r="CN34" s="34"/>
      <c r="CO34" s="34"/>
      <c r="CP34" s="34"/>
    </row>
    <row r="35" spans="1:94" ht="12" customHeight="1">
      <c r="A35" s="31"/>
      <c r="B35" s="31"/>
      <c r="C35" s="31"/>
      <c r="D35" s="123" t="str">
        <f>'Variable Capacity unit'!$D$45</f>
        <v>Full</v>
      </c>
      <c r="E35" s="124"/>
      <c r="F35" s="124"/>
      <c r="G35" s="125"/>
      <c r="H35" s="140">
        <v>5950</v>
      </c>
      <c r="I35" s="140"/>
      <c r="J35" s="140"/>
      <c r="K35" s="140"/>
      <c r="L35" s="140">
        <v>1400</v>
      </c>
      <c r="M35" s="140"/>
      <c r="N35" s="140"/>
      <c r="O35" s="140"/>
      <c r="P35" s="147">
        <f>'Variable Capacity unit'!$CC$127</f>
        <v>4.2637193366348036</v>
      </c>
      <c r="Q35" s="108"/>
      <c r="R35" s="31"/>
      <c r="S35" s="31"/>
      <c r="T35" s="31"/>
      <c r="U35" s="31"/>
      <c r="V35" s="31"/>
      <c r="W35" s="31"/>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76"/>
      <c r="BB35" s="76"/>
      <c r="BC35" s="33"/>
      <c r="BD35" s="33"/>
      <c r="BE35" s="35" t="s">
        <v>126</v>
      </c>
      <c r="BF35" s="93"/>
      <c r="BU35" s="88"/>
      <c r="BV35" s="88"/>
      <c r="CB35" s="63">
        <v>18</v>
      </c>
      <c r="CC35" s="63">
        <f>data!$D39</f>
        <v>32</v>
      </c>
      <c r="CD35" s="63">
        <f>data!$E39</f>
        <v>35</v>
      </c>
      <c r="CE35" s="70">
        <f t="shared" si="0"/>
        <v>6975.9999991343993</v>
      </c>
      <c r="CF35" s="71">
        <f t="shared" si="1"/>
        <v>0.9460652051590539</v>
      </c>
      <c r="CG35" s="71">
        <f t="shared" si="2"/>
        <v>0.78426082063621583</v>
      </c>
      <c r="CH35" s="72">
        <f t="shared" si="3"/>
        <v>8894.9999994584196</v>
      </c>
      <c r="CI35" s="70">
        <f t="shared" si="4"/>
        <v>244159.99996970399</v>
      </c>
      <c r="CJ35" s="72">
        <f t="shared" si="5"/>
        <v>2405</v>
      </c>
      <c r="CK35" s="45">
        <f t="shared" si="6"/>
        <v>3.6985446983195094</v>
      </c>
      <c r="CL35" s="70">
        <f t="shared" si="7"/>
        <v>69778.6518487961</v>
      </c>
      <c r="CN35" s="34"/>
      <c r="CO35" s="34"/>
      <c r="CP35" s="34"/>
    </row>
    <row r="36" spans="1:94" ht="12" customHeight="1">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t="str">
        <f>'Variable Capacity unit'!$AI$49</f>
        <v>(35℃ Low Humidity and cyclic)</v>
      </c>
      <c r="AJ36" s="31"/>
      <c r="AK36" s="31"/>
      <c r="AL36" s="31"/>
      <c r="AM36" s="31"/>
      <c r="AN36" s="31"/>
      <c r="AO36" s="31"/>
      <c r="AP36" s="31"/>
      <c r="AQ36" s="31"/>
      <c r="AR36" s="31"/>
      <c r="AS36" s="31"/>
      <c r="AT36" s="31"/>
      <c r="AU36" s="31"/>
      <c r="AV36" s="31"/>
      <c r="AW36" s="31"/>
      <c r="AX36" s="31"/>
      <c r="AY36" s="31"/>
      <c r="AZ36" s="31"/>
      <c r="BA36" s="76"/>
      <c r="BB36" s="76"/>
      <c r="BC36" s="33"/>
      <c r="BD36" s="33"/>
      <c r="BE36" s="35" t="s">
        <v>126</v>
      </c>
      <c r="BF36" s="93"/>
      <c r="BU36" s="88"/>
      <c r="BV36" s="88"/>
      <c r="CB36" s="63">
        <v>19</v>
      </c>
      <c r="CC36" s="63">
        <f>data!$D40</f>
        <v>33</v>
      </c>
      <c r="CD36" s="63">
        <f>data!$E40</f>
        <v>11</v>
      </c>
      <c r="CE36" s="70">
        <f t="shared" si="0"/>
        <v>7557.3333323956003</v>
      </c>
      <c r="CF36" s="71">
        <f t="shared" si="1"/>
        <v>0.96380611089247925</v>
      </c>
      <c r="CG36" s="71">
        <f t="shared" si="2"/>
        <v>0.85522444356991711</v>
      </c>
      <c r="CH36" s="72">
        <f t="shared" si="3"/>
        <v>8836.6666659449456</v>
      </c>
      <c r="CI36" s="70">
        <f t="shared" si="4"/>
        <v>83130.666656351605</v>
      </c>
      <c r="CJ36" s="72">
        <f t="shared" si="5"/>
        <v>2447.3333333333335</v>
      </c>
      <c r="CK36" s="45">
        <f t="shared" si="6"/>
        <v>3.6107327700673979</v>
      </c>
      <c r="CL36" s="70">
        <f t="shared" si="7"/>
        <v>23887.804725798891</v>
      </c>
      <c r="CN36" s="34"/>
      <c r="CO36" s="34"/>
      <c r="CP36" s="34"/>
    </row>
    <row r="37" spans="1:94" ht="12" customHeight="1">
      <c r="A37" s="31"/>
      <c r="B37" s="31"/>
      <c r="C37" s="31"/>
      <c r="D37" s="31" t="str">
        <f>'Variable Capacity unit'!$D$49</f>
        <v>Low humidity and Cyclic condition ( 35℃ )</v>
      </c>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108" t="str">
        <f>$D$17</f>
        <v>Full Dry Coil</v>
      </c>
      <c r="AL37" s="108"/>
      <c r="AM37" s="108"/>
      <c r="AN37" s="108"/>
      <c r="AO37" s="108"/>
      <c r="AP37" s="129"/>
      <c r="AQ37" s="69"/>
      <c r="AR37" s="157" t="s">
        <v>112</v>
      </c>
      <c r="AS37" s="157"/>
      <c r="AT37" s="157"/>
      <c r="AU37" s="157"/>
      <c r="AV37" s="157"/>
      <c r="AW37" s="69"/>
      <c r="AX37" s="157" t="s">
        <v>113</v>
      </c>
      <c r="AY37" s="157"/>
      <c r="AZ37" s="157"/>
      <c r="BA37" s="157"/>
      <c r="BB37" s="158"/>
      <c r="BC37" s="81">
        <v>1</v>
      </c>
      <c r="BD37" s="33" t="str">
        <f>IF($BC$26=2,IF($BC$37=2,"Measure","Default"),"Default")</f>
        <v>Default</v>
      </c>
      <c r="BE37" s="35" t="s">
        <v>126</v>
      </c>
      <c r="BF37" s="93"/>
      <c r="BU37" s="88"/>
      <c r="BV37" s="88"/>
      <c r="CB37" s="63">
        <v>20</v>
      </c>
      <c r="CC37" s="63">
        <f>data!$D41</f>
        <v>34</v>
      </c>
      <c r="CD37" s="63">
        <f>data!$E41</f>
        <v>6</v>
      </c>
      <c r="CE37" s="70">
        <f t="shared" si="0"/>
        <v>8138.6666656567995</v>
      </c>
      <c r="CF37" s="71">
        <f t="shared" si="1"/>
        <v>0.98178279855210582</v>
      </c>
      <c r="CG37" s="71">
        <f t="shared" si="2"/>
        <v>0.92713119420842327</v>
      </c>
      <c r="CH37" s="72">
        <f t="shared" si="3"/>
        <v>8778.3333324314735</v>
      </c>
      <c r="CI37" s="70">
        <f t="shared" si="4"/>
        <v>48831.999993940801</v>
      </c>
      <c r="CJ37" s="72">
        <f t="shared" si="5"/>
        <v>2489.6666666666665</v>
      </c>
      <c r="CK37" s="45">
        <f t="shared" si="6"/>
        <v>3.5259070822458725</v>
      </c>
      <c r="CL37" s="70">
        <f t="shared" si="7"/>
        <v>14106.466114002094</v>
      </c>
      <c r="CN37" s="34"/>
      <c r="CO37" s="34"/>
      <c r="CP37" s="34"/>
    </row>
    <row r="38" spans="1:94" ht="12" customHeight="1">
      <c r="A38" s="31"/>
      <c r="B38" s="31"/>
      <c r="C38" s="31"/>
      <c r="D38" s="31"/>
      <c r="E38" s="31"/>
      <c r="F38" s="31"/>
      <c r="G38" s="31"/>
      <c r="H38" s="154" t="str">
        <f>'Variable Capacity unit'!$H$8</f>
        <v>Capacity [W]</v>
      </c>
      <c r="I38" s="154"/>
      <c r="J38" s="154"/>
      <c r="K38" s="154"/>
      <c r="L38" s="154" t="str">
        <f>'Variable Capacity unit'!$L$8</f>
        <v>Power [W]</v>
      </c>
      <c r="M38" s="154"/>
      <c r="N38" s="154"/>
      <c r="O38" s="154"/>
      <c r="P38" s="103" t="str">
        <f>'Variable Capacity unit'!$P$8</f>
        <v>EER</v>
      </c>
      <c r="Q38" s="104"/>
      <c r="R38" s="31"/>
      <c r="S38" s="31"/>
      <c r="T38" s="31"/>
      <c r="U38" s="31"/>
      <c r="V38" s="31"/>
      <c r="W38" s="31"/>
      <c r="X38" s="31"/>
      <c r="Y38" s="31"/>
      <c r="Z38" s="31"/>
      <c r="AA38" s="31"/>
      <c r="AB38" s="31"/>
      <c r="AC38" s="31"/>
      <c r="AD38" s="31"/>
      <c r="AE38" s="31"/>
      <c r="AF38" s="31"/>
      <c r="AG38" s="31"/>
      <c r="AH38" s="31"/>
      <c r="AI38" s="31"/>
      <c r="AJ38" s="31"/>
      <c r="AK38" s="108" t="str">
        <f>$D$18</f>
        <v>Full Cyclic</v>
      </c>
      <c r="AL38" s="108"/>
      <c r="AM38" s="108"/>
      <c r="AN38" s="108"/>
      <c r="AO38" s="108"/>
      <c r="AP38" s="129"/>
      <c r="AQ38" s="85"/>
      <c r="AR38" s="159"/>
      <c r="AS38" s="159"/>
      <c r="AT38" s="159"/>
      <c r="AU38" s="159"/>
      <c r="AV38" s="159"/>
      <c r="AW38" s="85"/>
      <c r="AX38" s="159"/>
      <c r="AY38" s="159"/>
      <c r="AZ38" s="159"/>
      <c r="BA38" s="159"/>
      <c r="BB38" s="160"/>
      <c r="BC38" s="33"/>
      <c r="BD38" s="33"/>
      <c r="BE38" s="35" t="s">
        <v>126</v>
      </c>
      <c r="BF38" s="93"/>
      <c r="BU38" s="88"/>
      <c r="BV38" s="88"/>
      <c r="CB38" s="63">
        <v>21</v>
      </c>
      <c r="CC38" s="63">
        <f>data!$D42</f>
        <v>35</v>
      </c>
      <c r="CD38" s="63">
        <f>data!$E42</f>
        <v>4</v>
      </c>
      <c r="CE38" s="70">
        <f t="shared" si="0"/>
        <v>8719.9999989179996</v>
      </c>
      <c r="CF38" s="71">
        <f t="shared" si="1"/>
        <v>1</v>
      </c>
      <c r="CG38" s="71">
        <f t="shared" si="2"/>
        <v>1</v>
      </c>
      <c r="CH38" s="72">
        <f t="shared" si="3"/>
        <v>8719.9999989179996</v>
      </c>
      <c r="CI38" s="70">
        <f t="shared" si="4"/>
        <v>34879.999995671998</v>
      </c>
      <c r="CJ38" s="72">
        <f t="shared" si="5"/>
        <v>2532</v>
      </c>
      <c r="CK38" s="45">
        <f t="shared" si="6"/>
        <v>3.4439178510734596</v>
      </c>
      <c r="CL38" s="70">
        <f t="shared" si="7"/>
        <v>10128</v>
      </c>
      <c r="CN38" s="34"/>
      <c r="CO38" s="34"/>
      <c r="CP38" s="34"/>
    </row>
    <row r="39" spans="1:94" ht="12" customHeight="1">
      <c r="A39" s="31"/>
      <c r="B39" s="31"/>
      <c r="C39" s="31"/>
      <c r="D39" s="108" t="str">
        <f>$D$17</f>
        <v>Full Dry Coil</v>
      </c>
      <c r="E39" s="108"/>
      <c r="F39" s="108"/>
      <c r="G39" s="108"/>
      <c r="H39" s="140">
        <v>3300</v>
      </c>
      <c r="I39" s="140"/>
      <c r="J39" s="140"/>
      <c r="K39" s="140"/>
      <c r="L39" s="140">
        <v>580</v>
      </c>
      <c r="M39" s="140"/>
      <c r="N39" s="140"/>
      <c r="O39" s="140"/>
      <c r="P39" s="147">
        <f>$H$17/$L$17</f>
        <v>5.6896551724137927</v>
      </c>
      <c r="Q39" s="147"/>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76"/>
      <c r="BB39" s="76"/>
      <c r="BC39" s="33"/>
      <c r="BD39" s="33"/>
      <c r="BE39" s="35" t="s">
        <v>126</v>
      </c>
      <c r="BF39" s="93"/>
      <c r="BU39" s="88"/>
      <c r="BV39" s="88"/>
      <c r="CB39" s="63">
        <v>22</v>
      </c>
      <c r="CC39" s="63">
        <f>data!$D43</f>
        <v>36</v>
      </c>
      <c r="CD39" s="63">
        <f>data!$E43</f>
        <v>0</v>
      </c>
      <c r="CE39" s="70">
        <f t="shared" si="0"/>
        <v>9301.3333321791997</v>
      </c>
      <c r="CF39" s="71">
        <f t="shared" si="1"/>
        <v>1</v>
      </c>
      <c r="CG39" s="71">
        <f t="shared" si="2"/>
        <v>1</v>
      </c>
      <c r="CH39" s="72">
        <f t="shared" si="3"/>
        <v>8661.6666654045257</v>
      </c>
      <c r="CI39" s="70">
        <f t="shared" si="4"/>
        <v>0</v>
      </c>
      <c r="CJ39" s="72">
        <f t="shared" si="5"/>
        <v>2574.3333333333335</v>
      </c>
      <c r="CK39" s="45">
        <f t="shared" si="6"/>
        <v>3.3646251451785028</v>
      </c>
      <c r="CL39" s="70">
        <f t="shared" si="7"/>
        <v>0</v>
      </c>
      <c r="CN39" s="34"/>
      <c r="CO39" s="34"/>
      <c r="CP39" s="34"/>
    </row>
    <row r="40" spans="1:94" ht="12" customHeight="1">
      <c r="A40" s="31"/>
      <c r="B40" s="31"/>
      <c r="C40" s="31"/>
      <c r="D40" s="108" t="str">
        <f>$D$18</f>
        <v>Full Cyclic</v>
      </c>
      <c r="E40" s="108"/>
      <c r="F40" s="108"/>
      <c r="G40" s="108"/>
      <c r="H40" s="140">
        <v>2500</v>
      </c>
      <c r="I40" s="140"/>
      <c r="J40" s="140"/>
      <c r="K40" s="140"/>
      <c r="L40" s="140">
        <v>480</v>
      </c>
      <c r="M40" s="140"/>
      <c r="N40" s="140"/>
      <c r="O40" s="140"/>
      <c r="P40" s="147">
        <f>$H$18/$L$18</f>
        <v>5.208333333333333</v>
      </c>
      <c r="Q40" s="147"/>
      <c r="R40" s="31"/>
      <c r="S40" s="31"/>
      <c r="T40" s="31"/>
      <c r="U40" s="31"/>
      <c r="V40" s="31"/>
      <c r="W40" s="31"/>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76"/>
      <c r="BB40" s="76"/>
      <c r="BC40" s="33"/>
      <c r="BD40" s="33"/>
      <c r="BE40" s="35" t="s">
        <v>126</v>
      </c>
      <c r="BF40" s="93"/>
      <c r="BU40" s="88"/>
      <c r="BV40" s="88"/>
      <c r="CB40" s="63">
        <v>23</v>
      </c>
      <c r="CC40" s="63">
        <f>data!$D44</f>
        <v>37</v>
      </c>
      <c r="CD40" s="63">
        <f>data!$E44</f>
        <v>0</v>
      </c>
      <c r="CE40" s="70">
        <f t="shared" si="0"/>
        <v>9882.6666654403998</v>
      </c>
      <c r="CF40" s="71">
        <f t="shared" si="1"/>
        <v>1</v>
      </c>
      <c r="CG40" s="71">
        <f t="shared" si="2"/>
        <v>1</v>
      </c>
      <c r="CH40" s="72">
        <f t="shared" si="3"/>
        <v>8603.3333318910536</v>
      </c>
      <c r="CI40" s="70">
        <f t="shared" si="4"/>
        <v>0</v>
      </c>
      <c r="CJ40" s="72">
        <f t="shared" si="5"/>
        <v>2616.6666666666665</v>
      </c>
      <c r="CK40" s="45">
        <f t="shared" si="6"/>
        <v>3.2878980886207851</v>
      </c>
      <c r="CL40" s="70">
        <f t="shared" si="7"/>
        <v>0</v>
      </c>
      <c r="CN40" s="34"/>
      <c r="CO40" s="34"/>
      <c r="CP40" s="34"/>
    </row>
    <row r="41" spans="1:94" ht="12" customHeight="1">
      <c r="A41" s="31"/>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76"/>
      <c r="BB41" s="76"/>
      <c r="BC41" s="78"/>
      <c r="BD41" s="78"/>
      <c r="BE41" s="35" t="s">
        <v>126</v>
      </c>
      <c r="BF41" s="93"/>
      <c r="BU41" s="88"/>
      <c r="BV41" s="88"/>
      <c r="CB41" s="63">
        <v>24</v>
      </c>
      <c r="CC41" s="63">
        <f>data!$D45</f>
        <v>38</v>
      </c>
      <c r="CD41" s="63">
        <f>data!$E45</f>
        <v>0</v>
      </c>
      <c r="CE41" s="70">
        <f t="shared" si="0"/>
        <v>10463.9999987016</v>
      </c>
      <c r="CF41" s="71">
        <f t="shared" si="1"/>
        <v>1</v>
      </c>
      <c r="CG41" s="71">
        <f t="shared" si="2"/>
        <v>1</v>
      </c>
      <c r="CH41" s="72">
        <f t="shared" si="3"/>
        <v>8544.9999983775797</v>
      </c>
      <c r="CI41" s="70">
        <f t="shared" si="4"/>
        <v>0</v>
      </c>
      <c r="CJ41" s="72">
        <f t="shared" si="5"/>
        <v>2659</v>
      </c>
      <c r="CK41" s="45">
        <f t="shared" si="6"/>
        <v>3.2136141400442195</v>
      </c>
      <c r="CL41" s="70">
        <f t="shared" si="7"/>
        <v>0</v>
      </c>
      <c r="CN41" s="34"/>
      <c r="CO41" s="34"/>
      <c r="CP41" s="34"/>
    </row>
    <row r="42" spans="1:94" ht="12" customHeight="1">
      <c r="A42" s="31"/>
      <c r="B42" s="31"/>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76"/>
      <c r="BB42" s="76"/>
      <c r="BC42" s="78"/>
      <c r="BD42" s="78"/>
      <c r="BE42" s="35" t="s">
        <v>126</v>
      </c>
      <c r="BF42" s="93"/>
      <c r="BU42" s="88"/>
      <c r="BV42" s="88"/>
      <c r="CB42" s="63">
        <v>25</v>
      </c>
      <c r="CC42" s="63">
        <f>data!$D46</f>
        <v>39</v>
      </c>
      <c r="CD42" s="63">
        <f>data!$E46</f>
        <v>0</v>
      </c>
      <c r="CE42" s="70">
        <f t="shared" si="0"/>
        <v>11045.333331962798</v>
      </c>
      <c r="CF42" s="71">
        <f t="shared" si="1"/>
        <v>1</v>
      </c>
      <c r="CG42" s="71">
        <f t="shared" si="2"/>
        <v>1</v>
      </c>
      <c r="CH42" s="72">
        <f t="shared" si="3"/>
        <v>8486.6666648641058</v>
      </c>
      <c r="CI42" s="70">
        <f t="shared" si="4"/>
        <v>0</v>
      </c>
      <c r="CJ42" s="72">
        <f t="shared" si="5"/>
        <v>2701.3333333333335</v>
      </c>
      <c r="CK42" s="45">
        <f t="shared" si="6"/>
        <v>3.1416584396091207</v>
      </c>
      <c r="CL42" s="70">
        <f t="shared" si="7"/>
        <v>0</v>
      </c>
      <c r="CN42" s="34"/>
      <c r="CO42" s="34"/>
      <c r="CP42" s="34"/>
    </row>
    <row r="43" spans="1:94">
      <c r="CB43" s="63">
        <v>26</v>
      </c>
      <c r="CC43" s="63">
        <f>data!$D47</f>
        <v>40</v>
      </c>
      <c r="CD43" s="63">
        <f>data!$E47</f>
        <v>0</v>
      </c>
      <c r="CE43" s="70">
        <f t="shared" si="0"/>
        <v>11626.666665224</v>
      </c>
      <c r="CF43" s="71">
        <f t="shared" si="1"/>
        <v>1</v>
      </c>
      <c r="CG43" s="71">
        <f t="shared" si="2"/>
        <v>1</v>
      </c>
      <c r="CH43" s="72">
        <f t="shared" si="3"/>
        <v>8428.3333313506337</v>
      </c>
      <c r="CI43" s="70">
        <f t="shared" si="4"/>
        <v>0</v>
      </c>
      <c r="CJ43" s="72">
        <f t="shared" si="5"/>
        <v>2743.6666666666665</v>
      </c>
      <c r="CK43" s="45">
        <f t="shared" si="6"/>
        <v>3.0719232163834165</v>
      </c>
      <c r="CL43" s="70">
        <f t="shared" si="7"/>
        <v>0</v>
      </c>
    </row>
    <row r="44" spans="1:9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CB44" s="63">
        <v>27</v>
      </c>
      <c r="CC44" s="63">
        <f>data!$D48</f>
        <v>41</v>
      </c>
      <c r="CD44" s="63">
        <f>data!$E48</f>
        <v>0</v>
      </c>
      <c r="CE44" s="70">
        <f t="shared" si="0"/>
        <v>12207.9999984852</v>
      </c>
      <c r="CF44" s="71">
        <f t="shared" si="1"/>
        <v>1</v>
      </c>
      <c r="CG44" s="71">
        <f t="shared" si="2"/>
        <v>1</v>
      </c>
      <c r="CH44" s="72">
        <f t="shared" si="3"/>
        <v>8369.9999978371598</v>
      </c>
      <c r="CI44" s="70">
        <f t="shared" si="4"/>
        <v>0</v>
      </c>
      <c r="CJ44" s="72">
        <f t="shared" si="5"/>
        <v>2786</v>
      </c>
      <c r="CK44" s="45">
        <f t="shared" si="6"/>
        <v>3.004307249762082</v>
      </c>
      <c r="CL44" s="70">
        <f t="shared" si="7"/>
        <v>0</v>
      </c>
    </row>
    <row r="45" spans="1:94">
      <c r="Y45" s="34"/>
      <c r="Z45" s="34"/>
      <c r="AA45" s="34"/>
      <c r="AB45" s="34"/>
      <c r="AC45" s="34" t="s">
        <v>44</v>
      </c>
      <c r="AD45" s="34"/>
      <c r="AE45" s="34"/>
      <c r="AF45" s="34"/>
      <c r="AG45" s="34"/>
      <c r="AH45" s="34"/>
      <c r="AI45" s="34"/>
      <c r="AJ45" s="34"/>
      <c r="AK45" s="34"/>
      <c r="AL45" s="34"/>
      <c r="AM45" s="34"/>
      <c r="AN45" s="34"/>
      <c r="AO45" s="34"/>
      <c r="AP45" s="34"/>
      <c r="AQ45" s="34"/>
      <c r="AR45" s="34"/>
      <c r="AS45" s="34"/>
      <c r="AT45" s="34"/>
      <c r="AU45" s="34"/>
      <c r="AV45" s="34"/>
      <c r="AW45" s="34"/>
      <c r="CB45" s="63">
        <v>28</v>
      </c>
      <c r="CC45" s="63">
        <f>data!$D49</f>
        <v>42</v>
      </c>
      <c r="CD45" s="63">
        <f>data!$E49</f>
        <v>0</v>
      </c>
      <c r="CE45" s="70">
        <f t="shared" si="0"/>
        <v>12789.333331746398</v>
      </c>
      <c r="CF45" s="71">
        <f t="shared" si="1"/>
        <v>1</v>
      </c>
      <c r="CG45" s="71">
        <f t="shared" si="2"/>
        <v>1</v>
      </c>
      <c r="CH45" s="72">
        <f t="shared" si="3"/>
        <v>8311.6666643236858</v>
      </c>
      <c r="CI45" s="70">
        <f t="shared" si="4"/>
        <v>0</v>
      </c>
      <c r="CJ45" s="72">
        <f t="shared" si="5"/>
        <v>2828.3333333333335</v>
      </c>
      <c r="CK45" s="45">
        <f t="shared" si="6"/>
        <v>2.9387153792541021</v>
      </c>
      <c r="CL45" s="70">
        <f t="shared" si="7"/>
        <v>0</v>
      </c>
    </row>
    <row r="46" spans="1:94">
      <c r="Y46" s="34"/>
      <c r="Z46" s="34"/>
      <c r="AA46" s="34"/>
      <c r="AB46" s="34"/>
      <c r="AC46" s="34" t="s">
        <v>49</v>
      </c>
      <c r="AJ46" s="34"/>
      <c r="AK46" s="34"/>
      <c r="AM46" s="34"/>
      <c r="AO46" s="34"/>
      <c r="AP46" s="34"/>
      <c r="AQ46" s="34"/>
      <c r="AR46" s="34"/>
      <c r="AS46" s="34"/>
      <c r="AT46" s="34"/>
      <c r="AU46" s="34"/>
      <c r="AV46" s="34"/>
      <c r="AW46" s="34"/>
      <c r="CB46" s="63">
        <v>29</v>
      </c>
      <c r="CC46" s="63">
        <f>data!$D50</f>
        <v>43</v>
      </c>
      <c r="CD46" s="63">
        <f>data!$E50</f>
        <v>0</v>
      </c>
      <c r="CE46" s="70">
        <f t="shared" si="0"/>
        <v>13370.666665007599</v>
      </c>
      <c r="CF46" s="71">
        <f t="shared" si="1"/>
        <v>1</v>
      </c>
      <c r="CG46" s="71">
        <f t="shared" si="2"/>
        <v>1</v>
      </c>
      <c r="CH46" s="72">
        <f t="shared" si="3"/>
        <v>8253.3333308102137</v>
      </c>
      <c r="CI46" s="70">
        <f t="shared" si="4"/>
        <v>0</v>
      </c>
      <c r="CJ46" s="72">
        <f t="shared" si="5"/>
        <v>2870.6666666666665</v>
      </c>
      <c r="CK46" s="45">
        <f t="shared" si="6"/>
        <v>2.8750580576440599</v>
      </c>
      <c r="CL46" s="70">
        <f t="shared" si="7"/>
        <v>0</v>
      </c>
    </row>
    <row r="47" spans="1:94">
      <c r="Y47" s="34"/>
      <c r="Z47" s="34"/>
      <c r="AA47" s="34"/>
      <c r="AB47" s="34"/>
      <c r="AC47" s="34" t="s">
        <v>43</v>
      </c>
      <c r="AJ47" s="34"/>
      <c r="AK47" s="34"/>
      <c r="AM47" s="34"/>
      <c r="AO47" s="34"/>
      <c r="AP47" s="34"/>
      <c r="AQ47" s="34"/>
      <c r="AR47" s="34"/>
      <c r="AS47" s="34"/>
      <c r="AT47" s="34"/>
      <c r="AU47" s="34"/>
      <c r="AV47" s="34"/>
      <c r="AW47" s="34"/>
      <c r="CB47" s="63">
        <v>30</v>
      </c>
      <c r="CC47" s="63">
        <f>data!$D51</f>
        <v>44</v>
      </c>
      <c r="CD47" s="63">
        <f>data!$E51</f>
        <v>0</v>
      </c>
      <c r="CE47" s="70">
        <f t="shared" si="0"/>
        <v>13951.999998268799</v>
      </c>
      <c r="CF47" s="71">
        <f t="shared" si="1"/>
        <v>1</v>
      </c>
      <c r="CG47" s="71">
        <f t="shared" si="2"/>
        <v>1</v>
      </c>
      <c r="CH47" s="72">
        <f t="shared" si="3"/>
        <v>8194.9999972967398</v>
      </c>
      <c r="CI47" s="70">
        <f t="shared" si="4"/>
        <v>0</v>
      </c>
      <c r="CJ47" s="72">
        <f t="shared" si="5"/>
        <v>2913</v>
      </c>
      <c r="CK47" s="45">
        <f t="shared" si="6"/>
        <v>2.8132509431159423</v>
      </c>
      <c r="CL47" s="70">
        <f t="shared" si="7"/>
        <v>0</v>
      </c>
    </row>
    <row r="48" spans="1:94">
      <c r="Y48" s="34"/>
      <c r="Z48" s="34"/>
      <c r="AA48" s="34"/>
      <c r="AB48" s="34"/>
      <c r="AC48" s="34" t="s">
        <v>95</v>
      </c>
      <c r="AE48" s="34"/>
      <c r="AF48" s="34"/>
      <c r="AG48" s="34"/>
      <c r="AH48" s="34"/>
      <c r="AI48" s="34"/>
      <c r="AJ48" s="34"/>
      <c r="AK48" s="34"/>
      <c r="AL48" s="34"/>
      <c r="AM48" s="34"/>
      <c r="AN48" s="34"/>
      <c r="AO48" s="34"/>
      <c r="AP48" s="34"/>
      <c r="AQ48" s="34"/>
      <c r="AR48" s="34"/>
      <c r="AS48" s="34"/>
      <c r="AT48" s="34"/>
      <c r="AU48" s="34"/>
      <c r="AV48" s="34"/>
      <c r="AW48" s="34"/>
      <c r="CB48" s="63">
        <v>31</v>
      </c>
      <c r="CC48" s="63">
        <f>data!$D52</f>
        <v>45</v>
      </c>
      <c r="CD48" s="63">
        <f>data!$E52</f>
        <v>0</v>
      </c>
      <c r="CE48" s="70">
        <f t="shared" si="0"/>
        <v>14533.333331530001</v>
      </c>
      <c r="CF48" s="71">
        <f t="shared" si="1"/>
        <v>1</v>
      </c>
      <c r="CG48" s="71">
        <f t="shared" si="2"/>
        <v>1</v>
      </c>
      <c r="CH48" s="72">
        <f t="shared" si="3"/>
        <v>8136.6666637832668</v>
      </c>
      <c r="CI48" s="70">
        <f t="shared" si="4"/>
        <v>0</v>
      </c>
      <c r="CJ48" s="72">
        <f t="shared" si="5"/>
        <v>2955.3333333333335</v>
      </c>
      <c r="CK48" s="45">
        <f t="shared" si="6"/>
        <v>2.7532145264324157</v>
      </c>
      <c r="CL48" s="70">
        <f t="shared" si="7"/>
        <v>0</v>
      </c>
    </row>
    <row r="49" spans="25:90">
      <c r="Y49" s="34"/>
      <c r="Z49" s="34"/>
      <c r="AA49" s="34"/>
      <c r="AB49" s="34"/>
      <c r="AC49" s="34" t="s">
        <v>44</v>
      </c>
      <c r="AE49" s="34"/>
      <c r="AF49" s="34"/>
      <c r="AG49" s="34"/>
      <c r="AH49" s="34"/>
      <c r="AI49" s="34"/>
      <c r="AJ49" s="34"/>
      <c r="AK49" s="34"/>
      <c r="AL49" s="34"/>
      <c r="AM49" s="34"/>
      <c r="AN49" s="34"/>
      <c r="AO49" s="34"/>
      <c r="AP49" s="34"/>
      <c r="AQ49" s="34"/>
      <c r="AR49" s="34"/>
      <c r="AS49" s="34"/>
      <c r="AT49" s="34"/>
      <c r="AU49" s="34"/>
      <c r="AV49" s="34"/>
      <c r="AW49" s="34"/>
      <c r="CB49" s="63"/>
      <c r="CC49" s="63"/>
      <c r="CD49" s="63">
        <f>SUM(CD18:CD48)</f>
        <v>1817</v>
      </c>
      <c r="CE49" s="63"/>
      <c r="CF49" s="63"/>
      <c r="CG49" s="63"/>
      <c r="CH49" s="63"/>
      <c r="CI49" s="62">
        <f>SUM(CI18:CI48)</f>
        <v>6392922.6658734167</v>
      </c>
      <c r="CJ49" s="44"/>
      <c r="CK49" s="44"/>
      <c r="CL49" s="77">
        <f>SUM(CL18:CL48)</f>
        <v>1777721.5006113653</v>
      </c>
    </row>
    <row r="50" spans="25:90">
      <c r="Y50" s="34"/>
      <c r="Z50" s="34"/>
      <c r="AA50" s="34"/>
      <c r="AB50" s="34"/>
      <c r="AC50" s="34" t="s">
        <v>45</v>
      </c>
      <c r="AE50" s="34"/>
      <c r="AF50" s="34"/>
      <c r="AG50" s="34"/>
      <c r="AH50" s="34"/>
      <c r="AI50" s="34"/>
      <c r="AJ50" s="34"/>
      <c r="AK50" s="34"/>
      <c r="AL50" s="34"/>
      <c r="AM50" s="34"/>
      <c r="AN50" s="34"/>
      <c r="AO50" s="34"/>
      <c r="AP50" s="34"/>
      <c r="AQ50" s="34"/>
      <c r="AR50" s="34"/>
      <c r="AS50" s="34"/>
      <c r="AT50" s="34"/>
      <c r="AU50" s="34"/>
      <c r="AV50" s="34"/>
      <c r="AW50" s="34"/>
    </row>
    <row r="51" spans="25:90">
      <c r="Y51" s="34"/>
      <c r="Z51" s="34"/>
      <c r="AA51" s="34"/>
      <c r="AB51" s="34"/>
      <c r="AE51" s="34"/>
      <c r="AF51" s="34"/>
      <c r="AG51" s="34"/>
      <c r="AH51" s="34"/>
      <c r="AI51" s="34"/>
      <c r="AJ51" s="34"/>
      <c r="AK51" s="34"/>
      <c r="AL51" s="34"/>
      <c r="AM51" s="34"/>
      <c r="AN51" s="34"/>
      <c r="AO51" s="34"/>
      <c r="AP51" s="34"/>
      <c r="AQ51" s="34"/>
      <c r="AR51" s="34"/>
      <c r="AS51" s="34"/>
      <c r="AT51" s="34"/>
      <c r="AU51" s="34"/>
      <c r="AV51" s="34"/>
      <c r="AW51" s="34"/>
    </row>
    <row r="52" spans="25:90">
      <c r="Y52" s="34"/>
      <c r="Z52" s="34"/>
      <c r="AA52" s="34"/>
      <c r="AB52" s="34"/>
      <c r="AE52" s="34"/>
      <c r="AF52" s="34"/>
      <c r="AG52" s="34"/>
      <c r="AH52" s="34"/>
      <c r="AI52" s="34"/>
      <c r="AJ52" s="34"/>
      <c r="AK52" s="34"/>
      <c r="AL52" s="34"/>
      <c r="AM52" s="34"/>
      <c r="AN52" s="34"/>
      <c r="AO52" s="34"/>
      <c r="AP52" s="34"/>
      <c r="AQ52" s="34"/>
      <c r="AR52" s="34"/>
      <c r="AS52" s="34"/>
      <c r="AT52" s="34"/>
      <c r="AU52" s="34"/>
      <c r="AV52" s="34"/>
      <c r="AW52" s="34"/>
    </row>
    <row r="53" spans="25:90">
      <c r="Y53" s="34"/>
      <c r="Z53" s="34"/>
      <c r="AA53" s="34"/>
      <c r="AB53" s="34"/>
      <c r="AE53" s="34"/>
      <c r="AF53" s="34"/>
      <c r="AG53" s="34"/>
      <c r="AH53" s="34"/>
      <c r="AI53" s="34"/>
      <c r="AJ53" s="34"/>
      <c r="AK53" s="34"/>
      <c r="AL53" s="34"/>
      <c r="AM53" s="34"/>
      <c r="AN53" s="34"/>
      <c r="AO53" s="34"/>
      <c r="AP53" s="34"/>
      <c r="AQ53" s="34"/>
      <c r="AR53" s="34"/>
      <c r="AS53" s="34"/>
      <c r="AT53" s="34"/>
      <c r="AU53" s="34"/>
      <c r="AV53" s="34"/>
      <c r="AW53" s="34"/>
    </row>
    <row r="54" spans="25:90">
      <c r="AE54" s="34"/>
      <c r="AF54" s="34"/>
      <c r="AG54" s="34"/>
      <c r="AH54" s="34"/>
    </row>
    <row r="55" spans="25:90">
      <c r="AE55" s="34"/>
      <c r="AF55" s="34"/>
      <c r="AG55" s="34"/>
      <c r="AH55" s="34"/>
    </row>
    <row r="56" spans="25:90">
      <c r="AE56" s="34"/>
      <c r="AF56" s="34"/>
      <c r="AG56" s="34"/>
      <c r="AH56" s="34"/>
    </row>
    <row r="57" spans="25:90">
      <c r="AE57" s="34"/>
      <c r="AF57" s="34"/>
      <c r="AG57" s="34"/>
      <c r="AH57" s="34"/>
    </row>
    <row r="58" spans="25:90">
      <c r="AE58" s="34"/>
      <c r="AF58" s="34"/>
      <c r="AG58" s="34"/>
      <c r="AH58" s="34"/>
    </row>
    <row r="59" spans="25:90">
      <c r="AE59" s="34"/>
      <c r="AF59" s="34"/>
      <c r="AG59" s="34"/>
      <c r="AH59" s="34"/>
    </row>
    <row r="60" spans="25:90">
      <c r="AE60" s="34"/>
      <c r="AF60" s="34"/>
      <c r="AG60" s="34"/>
      <c r="AH60" s="34"/>
      <c r="CA60" s="28" t="s">
        <v>73</v>
      </c>
      <c r="CF60" s="29" t="str">
        <f>data!F7</f>
        <v>CUSTOM</v>
      </c>
      <c r="CL60" s="30"/>
    </row>
    <row r="61" spans="25:90">
      <c r="AE61" s="34"/>
      <c r="AF61" s="34"/>
      <c r="AG61" s="34"/>
      <c r="AH61" s="34"/>
      <c r="CA61" s="28"/>
      <c r="CL61" s="30"/>
    </row>
    <row r="62" spans="25:90">
      <c r="AA62" s="34"/>
      <c r="AB62" s="34"/>
      <c r="AE62" s="34"/>
      <c r="AF62" s="34"/>
      <c r="AG62" s="34"/>
      <c r="AH62" s="34"/>
      <c r="AI62" s="34"/>
      <c r="AJ62" s="34"/>
      <c r="AK62" s="34"/>
      <c r="AL62" s="34"/>
      <c r="AM62" s="34"/>
      <c r="AN62" s="34"/>
      <c r="CA62" s="28"/>
      <c r="CB62" s="37" t="s">
        <v>262</v>
      </c>
      <c r="CC62" s="38">
        <f>'Fixed Capacity unit'!$H$9</f>
        <v>8719.9999989179996</v>
      </c>
      <c r="CD62" s="39"/>
      <c r="CE62" s="40" t="s">
        <v>0</v>
      </c>
      <c r="CF62" s="41">
        <f>$CI$108/$CL$108</f>
        <v>3.584577881963344</v>
      </c>
      <c r="CJ62" s="42"/>
      <c r="CL62" s="43"/>
    </row>
    <row r="63" spans="25:90">
      <c r="AA63" s="34"/>
      <c r="AB63" s="34"/>
      <c r="AE63" s="34"/>
      <c r="AF63" s="34"/>
      <c r="AG63" s="34"/>
      <c r="AH63" s="34"/>
      <c r="AI63" s="34"/>
      <c r="AJ63" s="34"/>
      <c r="AK63" s="34"/>
      <c r="AL63" s="34"/>
      <c r="AM63" s="34"/>
      <c r="AN63" s="34"/>
      <c r="CA63" s="28"/>
      <c r="CL63" s="43"/>
    </row>
    <row r="64" spans="25:90" ht="15">
      <c r="AA64" s="34"/>
      <c r="AB64" s="34"/>
      <c r="AE64" s="34"/>
      <c r="AF64" s="34"/>
      <c r="AG64" s="34"/>
      <c r="AH64" s="34"/>
      <c r="AI64" s="34"/>
      <c r="AJ64" s="34"/>
      <c r="AK64" s="34"/>
      <c r="AL64" s="34"/>
      <c r="AM64" s="34"/>
      <c r="AN64" s="34"/>
      <c r="CA64" s="28"/>
      <c r="CC64" s="44" t="s">
        <v>134</v>
      </c>
      <c r="CG64" s="44" t="s">
        <v>19</v>
      </c>
      <c r="CH64" s="61">
        <f>IF('Fixed Capacity unit'!$BD$7="Required test",data!$F$14,IF('Fixed Capacity unit'!$BD$16="Default",data!$F$14,$CK$68))</f>
        <v>0.25</v>
      </c>
      <c r="CK64" s="40" t="s">
        <v>61</v>
      </c>
      <c r="CL64" s="40" t="s">
        <v>60</v>
      </c>
    </row>
    <row r="65" spans="27:90" ht="15">
      <c r="AA65" s="34"/>
      <c r="AB65" s="34"/>
      <c r="AE65" s="34"/>
      <c r="AF65" s="34"/>
      <c r="AG65" s="34"/>
      <c r="AH65" s="34"/>
      <c r="AI65" s="34"/>
      <c r="AJ65" s="34"/>
      <c r="AK65" s="34"/>
      <c r="AL65" s="34"/>
      <c r="AM65" s="34"/>
      <c r="AN65" s="34"/>
      <c r="CA65" s="28"/>
      <c r="CB65" s="51" t="s">
        <v>18</v>
      </c>
      <c r="CC65" s="52">
        <f>'Fixed Capacity unit'!$H$9</f>
        <v>8719.9999989179996</v>
      </c>
      <c r="CG65" s="44" t="s">
        <v>146</v>
      </c>
      <c r="CH65" s="63">
        <f>data!$F$11</f>
        <v>20</v>
      </c>
      <c r="CJ65" s="83" t="s">
        <v>18</v>
      </c>
      <c r="CK65" s="40">
        <f>'Fixed Capacity unit'!$H$18</f>
        <v>2500</v>
      </c>
      <c r="CL65" s="40">
        <f>'Fixed Capacity unit'!$H$17</f>
        <v>3300</v>
      </c>
    </row>
    <row r="66" spans="27:90" ht="15">
      <c r="AA66" s="34"/>
      <c r="AB66" s="34"/>
      <c r="AE66" s="34"/>
      <c r="AF66" s="34"/>
      <c r="AG66" s="34"/>
      <c r="AH66" s="34"/>
      <c r="AI66" s="34"/>
      <c r="AJ66" s="34"/>
      <c r="AK66" s="34"/>
      <c r="AL66" s="34"/>
      <c r="AM66" s="34"/>
      <c r="AN66" s="34"/>
      <c r="CA66" s="28"/>
      <c r="CB66" s="51" t="s">
        <v>83</v>
      </c>
      <c r="CC66" s="52">
        <f>'Fixed Capacity unit'!$L$9</f>
        <v>2532</v>
      </c>
      <c r="CG66" s="44" t="s">
        <v>148</v>
      </c>
      <c r="CH66" s="63">
        <f>data!$F$12</f>
        <v>35</v>
      </c>
      <c r="CJ66" s="83" t="s">
        <v>1</v>
      </c>
      <c r="CK66" s="40">
        <f>'Fixed Capacity unit'!$L$18</f>
        <v>480</v>
      </c>
      <c r="CL66" s="40">
        <f>'Fixed Capacity unit'!$L$17</f>
        <v>580</v>
      </c>
    </row>
    <row r="67" spans="27:90">
      <c r="AA67" s="34"/>
      <c r="AB67" s="34"/>
      <c r="AE67" s="34"/>
      <c r="AF67" s="34"/>
      <c r="AG67" s="34"/>
      <c r="AH67" s="34"/>
      <c r="AI67" s="34"/>
      <c r="AJ67" s="34"/>
      <c r="AK67" s="34"/>
      <c r="AL67" s="34"/>
      <c r="AM67" s="34"/>
      <c r="AN67" s="34"/>
      <c r="CA67" s="28"/>
      <c r="CB67" s="44" t="s">
        <v>215</v>
      </c>
      <c r="CC67" s="61">
        <f>$CC$65/$CC$66</f>
        <v>3.4439178510734596</v>
      </c>
      <c r="CJ67" s="83" t="s">
        <v>363</v>
      </c>
      <c r="CK67" s="41">
        <f>$CK$65/$CK$66</f>
        <v>5.208333333333333</v>
      </c>
      <c r="CL67" s="41">
        <f>$CL$65/$CL$66</f>
        <v>5.6896551724137927</v>
      </c>
    </row>
    <row r="68" spans="27:90">
      <c r="AA68" s="34"/>
      <c r="AB68" s="34"/>
      <c r="AE68" s="34"/>
      <c r="AF68" s="34"/>
      <c r="AG68" s="34"/>
      <c r="AH68" s="34"/>
      <c r="AI68" s="34"/>
      <c r="AJ68" s="34"/>
      <c r="AK68" s="34"/>
      <c r="AL68" s="34"/>
      <c r="AM68" s="34"/>
      <c r="AN68" s="34"/>
      <c r="CA68" s="28"/>
      <c r="CB68" s="44"/>
      <c r="CC68" s="44"/>
      <c r="CJ68" s="40" t="s">
        <v>76</v>
      </c>
      <c r="CK68" s="150">
        <f>(1-($CK$67/$CL$67))/(1-($CK$65/$CL$65))</f>
        <v>0.34895833333333315</v>
      </c>
      <c r="CL68" s="150"/>
    </row>
    <row r="69" spans="27:90" ht="15">
      <c r="AA69" s="34"/>
      <c r="AB69" s="34"/>
      <c r="AC69" s="34"/>
      <c r="AD69" s="34"/>
      <c r="AE69" s="34"/>
      <c r="AF69" s="34"/>
      <c r="AG69" s="34"/>
      <c r="AH69" s="34"/>
      <c r="AI69" s="34"/>
      <c r="AJ69" s="34"/>
      <c r="AK69" s="34"/>
      <c r="AL69" s="34"/>
      <c r="AM69" s="34"/>
      <c r="AN69" s="34"/>
      <c r="CA69" s="28"/>
      <c r="CB69" s="44"/>
      <c r="CC69" s="44" t="s">
        <v>364</v>
      </c>
    </row>
    <row r="70" spans="27:90">
      <c r="CA70" s="28"/>
      <c r="CB70" s="51" t="s">
        <v>18</v>
      </c>
      <c r="CC70" s="52">
        <f>IF('Fixed Capacity unit'!$BD$13="Default",$CC$65*data!$F$15,'Fixed Capacity unit'!$H$13)</f>
        <v>9069.9999999988395</v>
      </c>
    </row>
    <row r="71" spans="27:90">
      <c r="CA71" s="28"/>
      <c r="CB71" s="51" t="s">
        <v>83</v>
      </c>
      <c r="CC71" s="52">
        <f>IF('Fixed Capacity unit'!$BD$13="Default",$CC$66*data!$F$16,'Fixed Capacity unit'!$L$13)</f>
        <v>2278</v>
      </c>
    </row>
    <row r="72" spans="27:90">
      <c r="CA72" s="28"/>
      <c r="CB72" s="44" t="s">
        <v>356</v>
      </c>
      <c r="CC72" s="61">
        <f>$CC$70/$CC$71</f>
        <v>3.9815627743629673</v>
      </c>
    </row>
    <row r="73" spans="27:90">
      <c r="CA73" s="28"/>
      <c r="CB73" s="40"/>
      <c r="CC73" s="40"/>
    </row>
    <row r="74" spans="27:90">
      <c r="CA74" s="28"/>
      <c r="CB74" s="97" t="s">
        <v>5</v>
      </c>
      <c r="CC74" s="98" t="s">
        <v>7</v>
      </c>
      <c r="CD74" s="97" t="s">
        <v>8</v>
      </c>
      <c r="CE74" s="66" t="s">
        <v>9</v>
      </c>
      <c r="CF74" s="66" t="s">
        <v>10</v>
      </c>
      <c r="CG74" s="66" t="s">
        <v>20</v>
      </c>
      <c r="CH74" s="66" t="s">
        <v>11</v>
      </c>
      <c r="CI74" s="67" t="s">
        <v>2</v>
      </c>
      <c r="CJ74" s="66" t="s">
        <v>13</v>
      </c>
      <c r="CK74" s="66" t="s">
        <v>16</v>
      </c>
      <c r="CL74" s="67" t="s">
        <v>3</v>
      </c>
    </row>
    <row r="75" spans="27:90">
      <c r="CB75" s="97"/>
      <c r="CC75" s="98"/>
      <c r="CD75" s="97"/>
      <c r="CE75" s="67" t="s">
        <v>153</v>
      </c>
      <c r="CF75" s="96" t="s">
        <v>365</v>
      </c>
      <c r="CG75" s="96" t="s">
        <v>218</v>
      </c>
      <c r="CH75" s="68" t="s">
        <v>4</v>
      </c>
      <c r="CI75" s="96" t="s">
        <v>366</v>
      </c>
      <c r="CJ75" s="68" t="s">
        <v>4</v>
      </c>
      <c r="CK75" s="68" t="s">
        <v>4</v>
      </c>
      <c r="CL75" s="96" t="s">
        <v>277</v>
      </c>
    </row>
    <row r="76" spans="27:90" ht="15">
      <c r="CB76" s="63" t="s">
        <v>6</v>
      </c>
      <c r="CC76" s="63" t="s">
        <v>367</v>
      </c>
      <c r="CD76" s="63" t="s">
        <v>368</v>
      </c>
      <c r="CE76" s="68" t="s">
        <v>15</v>
      </c>
      <c r="CF76" s="99"/>
      <c r="CG76" s="99"/>
      <c r="CH76" s="67" t="s">
        <v>227</v>
      </c>
      <c r="CI76" s="96"/>
      <c r="CJ76" s="67" t="s">
        <v>369</v>
      </c>
      <c r="CK76" s="67" t="s">
        <v>370</v>
      </c>
      <c r="CL76" s="96"/>
    </row>
    <row r="77" spans="27:90">
      <c r="CB77" s="63">
        <v>1</v>
      </c>
      <c r="CC77" s="63">
        <f>data!$F22</f>
        <v>15</v>
      </c>
      <c r="CD77" s="63">
        <f>data!$G22</f>
        <v>0</v>
      </c>
      <c r="CE77" s="70">
        <f t="shared" ref="CE77:CE107" si="8">IF($CC$62*($CC77-$CH$65)/($CH$66-$CH$65)&lt;0,0,$CC$62*($CC77-$CH$65)/($CH$66-$CH$65))</f>
        <v>0</v>
      </c>
      <c r="CF77" s="71">
        <f t="shared" ref="CF77:CF107" si="9">1-$CH$64*(1-$CG77)</f>
        <v>0.75</v>
      </c>
      <c r="CG77" s="71">
        <f t="shared" ref="CG77:CG107" si="10">IF($CE77&lt;$CH77,$CE77/$CH77,1)</f>
        <v>0</v>
      </c>
      <c r="CH77" s="72">
        <f t="shared" ref="CH77:CH107" si="11">$CC$65+($CC$70-$CC$65)/(35-29)*(35-$CC77)</f>
        <v>9886.6666691874652</v>
      </c>
      <c r="CI77" s="70">
        <f t="shared" ref="CI77:CI107" si="12">IF($CE77&lt;$CH77,$CE77*$CD77,$CH77*$CD77)</f>
        <v>0</v>
      </c>
      <c r="CJ77" s="72">
        <f t="shared" ref="CJ77:CJ107" si="13">$CC$66+($CC$71-$CC$66)/(35-29)*(35-$CC77)</f>
        <v>1685.3333333333333</v>
      </c>
      <c r="CK77" s="45">
        <f t="shared" ref="CK77:CK107" si="14">$CH77/$CJ77</f>
        <v>5.8662974698501573</v>
      </c>
      <c r="CL77" s="70">
        <f t="shared" ref="CL77:CL107" si="15">IF($CF77=0,0,($CE77/$CH77)*$CJ77*$CD77/$CF77)</f>
        <v>0</v>
      </c>
    </row>
    <row r="78" spans="27:90">
      <c r="CB78" s="63">
        <v>2</v>
      </c>
      <c r="CC78" s="63">
        <f>data!$F23</f>
        <v>16</v>
      </c>
      <c r="CD78" s="63">
        <f>data!$G23</f>
        <v>0</v>
      </c>
      <c r="CE78" s="70">
        <f t="shared" si="8"/>
        <v>0</v>
      </c>
      <c r="CF78" s="71">
        <f t="shared" si="9"/>
        <v>0.75</v>
      </c>
      <c r="CG78" s="71">
        <f t="shared" si="10"/>
        <v>0</v>
      </c>
      <c r="CH78" s="72">
        <f t="shared" si="11"/>
        <v>9828.3333356739931</v>
      </c>
      <c r="CI78" s="70">
        <f t="shared" si="12"/>
        <v>0</v>
      </c>
      <c r="CJ78" s="72">
        <f t="shared" si="13"/>
        <v>1727.6666666666665</v>
      </c>
      <c r="CK78" s="45">
        <f t="shared" si="14"/>
        <v>5.688790277256798</v>
      </c>
      <c r="CL78" s="70">
        <f t="shared" si="15"/>
        <v>0</v>
      </c>
    </row>
    <row r="79" spans="27:90">
      <c r="CB79" s="63">
        <v>3</v>
      </c>
      <c r="CC79" s="63">
        <f>data!$F24</f>
        <v>17</v>
      </c>
      <c r="CD79" s="63">
        <f>data!$G24</f>
        <v>0</v>
      </c>
      <c r="CE79" s="70">
        <f t="shared" si="8"/>
        <v>0</v>
      </c>
      <c r="CF79" s="71">
        <f t="shared" si="9"/>
        <v>0.75</v>
      </c>
      <c r="CG79" s="71">
        <f t="shared" si="10"/>
        <v>0</v>
      </c>
      <c r="CH79" s="72">
        <f t="shared" si="11"/>
        <v>9770.0000021605192</v>
      </c>
      <c r="CI79" s="70">
        <f t="shared" si="12"/>
        <v>0</v>
      </c>
      <c r="CJ79" s="72">
        <f t="shared" si="13"/>
        <v>1770</v>
      </c>
      <c r="CK79" s="45">
        <f t="shared" si="14"/>
        <v>5.5197740125200676</v>
      </c>
      <c r="CL79" s="70">
        <f t="shared" si="15"/>
        <v>0</v>
      </c>
    </row>
    <row r="80" spans="27:90">
      <c r="CB80" s="63">
        <v>4</v>
      </c>
      <c r="CC80" s="63">
        <f>data!$F25</f>
        <v>18</v>
      </c>
      <c r="CD80" s="63">
        <f>data!$G25</f>
        <v>0</v>
      </c>
      <c r="CE80" s="70">
        <f t="shared" si="8"/>
        <v>0</v>
      </c>
      <c r="CF80" s="71">
        <f t="shared" si="9"/>
        <v>0.75</v>
      </c>
      <c r="CG80" s="71">
        <f t="shared" si="10"/>
        <v>0</v>
      </c>
      <c r="CH80" s="72">
        <f t="shared" si="11"/>
        <v>9711.6666686470453</v>
      </c>
      <c r="CI80" s="70">
        <f t="shared" si="12"/>
        <v>0</v>
      </c>
      <c r="CJ80" s="72">
        <f t="shared" si="13"/>
        <v>1812.3333333333333</v>
      </c>
      <c r="CK80" s="45">
        <f t="shared" si="14"/>
        <v>5.3586536703956478</v>
      </c>
      <c r="CL80" s="70">
        <f t="shared" si="15"/>
        <v>0</v>
      </c>
    </row>
    <row r="81" spans="80:90">
      <c r="CB81" s="63">
        <v>5</v>
      </c>
      <c r="CC81" s="63">
        <f>data!$F26</f>
        <v>19</v>
      </c>
      <c r="CD81" s="63">
        <f>data!$G26</f>
        <v>0</v>
      </c>
      <c r="CE81" s="70">
        <f t="shared" si="8"/>
        <v>0</v>
      </c>
      <c r="CF81" s="71">
        <f t="shared" si="9"/>
        <v>0.75</v>
      </c>
      <c r="CG81" s="71">
        <f t="shared" si="10"/>
        <v>0</v>
      </c>
      <c r="CH81" s="72">
        <f t="shared" si="11"/>
        <v>9653.3333351335732</v>
      </c>
      <c r="CI81" s="70">
        <f t="shared" si="12"/>
        <v>0</v>
      </c>
      <c r="CJ81" s="72">
        <f t="shared" si="13"/>
        <v>1854.6666666666665</v>
      </c>
      <c r="CK81" s="45">
        <f t="shared" si="14"/>
        <v>5.2048885703452052</v>
      </c>
      <c r="CL81" s="70">
        <f t="shared" si="15"/>
        <v>0</v>
      </c>
    </row>
    <row r="82" spans="80:90">
      <c r="CB82" s="63">
        <v>6</v>
      </c>
      <c r="CC82" s="63">
        <f>data!$F27</f>
        <v>20</v>
      </c>
      <c r="CD82" s="63">
        <f>data!$G27</f>
        <v>0</v>
      </c>
      <c r="CE82" s="70">
        <f t="shared" si="8"/>
        <v>0</v>
      </c>
      <c r="CF82" s="71">
        <f t="shared" si="9"/>
        <v>0.75</v>
      </c>
      <c r="CG82" s="71">
        <f t="shared" si="10"/>
        <v>0</v>
      </c>
      <c r="CH82" s="72">
        <f t="shared" si="11"/>
        <v>9595.0000016200993</v>
      </c>
      <c r="CI82" s="70">
        <f t="shared" si="12"/>
        <v>0</v>
      </c>
      <c r="CJ82" s="72">
        <f t="shared" si="13"/>
        <v>1897</v>
      </c>
      <c r="CK82" s="45">
        <f t="shared" si="14"/>
        <v>5.0579862950026877</v>
      </c>
      <c r="CL82" s="70">
        <f t="shared" si="15"/>
        <v>0</v>
      </c>
    </row>
    <row r="83" spans="80:90">
      <c r="CB83" s="63">
        <v>7</v>
      </c>
      <c r="CC83" s="63">
        <f>data!$F28</f>
        <v>21</v>
      </c>
      <c r="CD83" s="63">
        <f>data!$G28</f>
        <v>130</v>
      </c>
      <c r="CE83" s="70">
        <f t="shared" si="8"/>
        <v>581.33333326119998</v>
      </c>
      <c r="CF83" s="71">
        <f t="shared" si="9"/>
        <v>0.76523942676966339</v>
      </c>
      <c r="CG83" s="71">
        <f t="shared" si="10"/>
        <v>6.0957707078653278E-2</v>
      </c>
      <c r="CH83" s="72">
        <f t="shared" si="11"/>
        <v>9536.6666681066254</v>
      </c>
      <c r="CI83" s="70">
        <f t="shared" si="12"/>
        <v>75573.333323956002</v>
      </c>
      <c r="CJ83" s="72">
        <f t="shared" si="13"/>
        <v>1939.3333333333333</v>
      </c>
      <c r="CK83" s="45">
        <f t="shared" si="14"/>
        <v>4.9174974225369334</v>
      </c>
      <c r="CL83" s="70">
        <f t="shared" si="15"/>
        <v>20082.931153757763</v>
      </c>
    </row>
    <row r="84" spans="80:90">
      <c r="CB84" s="63">
        <v>8</v>
      </c>
      <c r="CC84" s="63">
        <f>data!$F29</f>
        <v>22</v>
      </c>
      <c r="CD84" s="63">
        <f>data!$G29</f>
        <v>167</v>
      </c>
      <c r="CE84" s="70">
        <f t="shared" si="8"/>
        <v>1162.6666665224</v>
      </c>
      <c r="CF84" s="71">
        <f t="shared" si="9"/>
        <v>0.78066643220593979</v>
      </c>
      <c r="CG84" s="71">
        <f t="shared" si="10"/>
        <v>0.12266572882375909</v>
      </c>
      <c r="CH84" s="72">
        <f t="shared" si="11"/>
        <v>9478.3333345931533</v>
      </c>
      <c r="CI84" s="70">
        <f t="shared" si="12"/>
        <v>194165.33330924078</v>
      </c>
      <c r="CJ84" s="72">
        <f t="shared" si="13"/>
        <v>1981.6666666666665</v>
      </c>
      <c r="CK84" s="45">
        <f t="shared" si="14"/>
        <v>4.7830109341933493</v>
      </c>
      <c r="CL84" s="70">
        <f t="shared" si="15"/>
        <v>52000.175977010054</v>
      </c>
    </row>
    <row r="85" spans="80:90">
      <c r="CB85" s="63">
        <v>9</v>
      </c>
      <c r="CC85" s="63">
        <f>data!$F30</f>
        <v>23</v>
      </c>
      <c r="CD85" s="63">
        <f>data!$G30</f>
        <v>231</v>
      </c>
      <c r="CE85" s="70">
        <f t="shared" si="8"/>
        <v>1743.9999997835998</v>
      </c>
      <c r="CF85" s="71">
        <f t="shared" si="9"/>
        <v>0.79628450105052306</v>
      </c>
      <c r="CG85" s="71">
        <f t="shared" si="10"/>
        <v>0.18513800420209237</v>
      </c>
      <c r="CH85" s="72">
        <f t="shared" si="11"/>
        <v>9420.0000010796794</v>
      </c>
      <c r="CI85" s="70">
        <f t="shared" si="12"/>
        <v>402863.99995001155</v>
      </c>
      <c r="CJ85" s="72">
        <f t="shared" si="13"/>
        <v>2024</v>
      </c>
      <c r="CK85" s="45">
        <f t="shared" si="14"/>
        <v>4.6541501981618971</v>
      </c>
      <c r="CL85" s="70">
        <f t="shared" si="15"/>
        <v>108705.07076612176</v>
      </c>
    </row>
    <row r="86" spans="80:90">
      <c r="CB86" s="63">
        <v>10</v>
      </c>
      <c r="CC86" s="63">
        <f>data!$F31</f>
        <v>24</v>
      </c>
      <c r="CD86" s="63">
        <f>data!$G31</f>
        <v>271</v>
      </c>
      <c r="CE86" s="70">
        <f t="shared" si="8"/>
        <v>2325.3333330447999</v>
      </c>
      <c r="CF86" s="71">
        <f t="shared" si="9"/>
        <v>0.81209720489998305</v>
      </c>
      <c r="CG86" s="71">
        <f t="shared" si="10"/>
        <v>0.24838881959993211</v>
      </c>
      <c r="CH86" s="72">
        <f t="shared" si="11"/>
        <v>9361.6666675662054</v>
      </c>
      <c r="CI86" s="70">
        <f t="shared" si="12"/>
        <v>630165.33325514081</v>
      </c>
      <c r="CJ86" s="72">
        <f t="shared" si="13"/>
        <v>2066.3333333333335</v>
      </c>
      <c r="CK86" s="45">
        <f t="shared" si="14"/>
        <v>4.5305694471202802</v>
      </c>
      <c r="CL86" s="70">
        <f t="shared" si="15"/>
        <v>171274.89123385816</v>
      </c>
    </row>
    <row r="87" spans="80:90">
      <c r="CB87" s="63">
        <v>11</v>
      </c>
      <c r="CC87" s="63">
        <f>data!$F32</f>
        <v>25</v>
      </c>
      <c r="CD87" s="63">
        <f>data!$G32</f>
        <v>253</v>
      </c>
      <c r="CE87" s="70">
        <f t="shared" si="8"/>
        <v>2906.666666306</v>
      </c>
      <c r="CF87" s="71">
        <f t="shared" si="9"/>
        <v>0.82810820492873261</v>
      </c>
      <c r="CG87" s="71">
        <f t="shared" si="10"/>
        <v>0.31243281971493042</v>
      </c>
      <c r="CH87" s="72">
        <f t="shared" si="11"/>
        <v>9303.3333340527333</v>
      </c>
      <c r="CI87" s="70">
        <f t="shared" si="12"/>
        <v>735386.66657541797</v>
      </c>
      <c r="CJ87" s="72">
        <f t="shared" si="13"/>
        <v>2108.6666666666665</v>
      </c>
      <c r="CK87" s="45">
        <f t="shared" si="14"/>
        <v>4.4119506800755932</v>
      </c>
      <c r="CL87" s="70">
        <f t="shared" si="15"/>
        <v>201278.79080518076</v>
      </c>
    </row>
    <row r="88" spans="80:90">
      <c r="CB88" s="63">
        <v>12</v>
      </c>
      <c r="CC88" s="63">
        <f>data!$F33</f>
        <v>26</v>
      </c>
      <c r="CD88" s="63">
        <f>data!$G33</f>
        <v>226</v>
      </c>
      <c r="CE88" s="70">
        <f t="shared" si="8"/>
        <v>3487.9999995671997</v>
      </c>
      <c r="CF88" s="71">
        <f t="shared" si="9"/>
        <v>0.84432125471508235</v>
      </c>
      <c r="CG88" s="71">
        <f t="shared" si="10"/>
        <v>0.37728501886032939</v>
      </c>
      <c r="CH88" s="72">
        <f t="shared" si="11"/>
        <v>9245.0000005392594</v>
      </c>
      <c r="CI88" s="70">
        <f t="shared" si="12"/>
        <v>788287.99990218715</v>
      </c>
      <c r="CJ88" s="72">
        <f t="shared" si="13"/>
        <v>2151</v>
      </c>
      <c r="CK88" s="45">
        <f t="shared" si="14"/>
        <v>4.2980009300507946</v>
      </c>
      <c r="CL88" s="70">
        <f t="shared" si="15"/>
        <v>217225.44121003782</v>
      </c>
    </row>
    <row r="89" spans="80:90">
      <c r="CB89" s="63">
        <v>13</v>
      </c>
      <c r="CC89" s="63">
        <f>data!$F34</f>
        <v>27</v>
      </c>
      <c r="CD89" s="63">
        <f>data!$G34</f>
        <v>189</v>
      </c>
      <c r="CE89" s="70">
        <f t="shared" si="8"/>
        <v>4069.3333328283998</v>
      </c>
      <c r="CF89" s="71">
        <f t="shared" si="9"/>
        <v>0.86074020317496347</v>
      </c>
      <c r="CG89" s="71">
        <f t="shared" si="10"/>
        <v>0.44296081269985388</v>
      </c>
      <c r="CH89" s="72">
        <f t="shared" si="11"/>
        <v>9186.6666670257855</v>
      </c>
      <c r="CI89" s="70">
        <f t="shared" si="12"/>
        <v>769103.99990456761</v>
      </c>
      <c r="CJ89" s="72">
        <f t="shared" si="13"/>
        <v>2193.3333333333335</v>
      </c>
      <c r="CK89" s="45">
        <f t="shared" si="14"/>
        <v>4.1884498481880481</v>
      </c>
      <c r="CL89" s="70">
        <f t="shared" si="15"/>
        <v>213333.79644551332</v>
      </c>
    </row>
    <row r="90" spans="80:90">
      <c r="CB90" s="63">
        <v>14</v>
      </c>
      <c r="CC90" s="63">
        <f>data!$F35</f>
        <v>28</v>
      </c>
      <c r="CD90" s="63">
        <f>data!$G35</f>
        <v>149</v>
      </c>
      <c r="CE90" s="70">
        <f t="shared" si="8"/>
        <v>4650.6666660895999</v>
      </c>
      <c r="CF90" s="71">
        <f t="shared" si="9"/>
        <v>0.87736899760813625</v>
      </c>
      <c r="CG90" s="71">
        <f t="shared" si="10"/>
        <v>0.50947599043254488</v>
      </c>
      <c r="CH90" s="72">
        <f t="shared" si="11"/>
        <v>9128.3333335123134</v>
      </c>
      <c r="CI90" s="70">
        <f t="shared" si="12"/>
        <v>692949.33324735041</v>
      </c>
      <c r="CJ90" s="72">
        <f t="shared" si="13"/>
        <v>2235.6666666666665</v>
      </c>
      <c r="CK90" s="45">
        <f t="shared" si="14"/>
        <v>4.0830475623284546</v>
      </c>
      <c r="CL90" s="70">
        <f t="shared" si="15"/>
        <v>193434.86647573224</v>
      </c>
    </row>
    <row r="91" spans="80:90">
      <c r="CB91" s="63">
        <v>15</v>
      </c>
      <c r="CC91" s="63">
        <f>data!$F36</f>
        <v>29</v>
      </c>
      <c r="CD91" s="63">
        <f>data!$G36</f>
        <v>128</v>
      </c>
      <c r="CE91" s="70">
        <f t="shared" si="8"/>
        <v>5231.9999993508</v>
      </c>
      <c r="CF91" s="71">
        <f t="shared" si="9"/>
        <v>0.89421168686194785</v>
      </c>
      <c r="CG91" s="71">
        <f t="shared" si="10"/>
        <v>0.57684674744779152</v>
      </c>
      <c r="CH91" s="72">
        <f t="shared" si="11"/>
        <v>9069.9999999988395</v>
      </c>
      <c r="CI91" s="70">
        <f t="shared" si="12"/>
        <v>669695.99991690239</v>
      </c>
      <c r="CJ91" s="72">
        <f t="shared" si="13"/>
        <v>2278</v>
      </c>
      <c r="CK91" s="45">
        <f t="shared" si="14"/>
        <v>3.9815627743629673</v>
      </c>
      <c r="CL91" s="70">
        <f t="shared" si="15"/>
        <v>188097.83463922021</v>
      </c>
    </row>
    <row r="92" spans="80:90">
      <c r="CB92" s="63">
        <v>16</v>
      </c>
      <c r="CC92" s="63">
        <f>data!$F37</f>
        <v>30</v>
      </c>
      <c r="CD92" s="63">
        <f>data!$G37</f>
        <v>111</v>
      </c>
      <c r="CE92" s="70">
        <f t="shared" si="8"/>
        <v>5813.333332612</v>
      </c>
      <c r="CF92" s="71">
        <f t="shared" si="9"/>
        <v>0.9112724246179662</v>
      </c>
      <c r="CG92" s="71">
        <f t="shared" si="10"/>
        <v>0.64508969847186481</v>
      </c>
      <c r="CH92" s="72">
        <f t="shared" si="11"/>
        <v>9011.6666664853656</v>
      </c>
      <c r="CI92" s="70">
        <f t="shared" si="12"/>
        <v>645279.99991993199</v>
      </c>
      <c r="CJ92" s="72">
        <f t="shared" si="13"/>
        <v>2320.3333333333335</v>
      </c>
      <c r="CK92" s="45">
        <f t="shared" si="14"/>
        <v>3.8837810658606657</v>
      </c>
      <c r="CL92" s="70">
        <f t="shared" si="15"/>
        <v>182324.58590961123</v>
      </c>
    </row>
    <row r="93" spans="80:90">
      <c r="CB93" s="63">
        <v>17</v>
      </c>
      <c r="CC93" s="63">
        <f>data!$F38</f>
        <v>31</v>
      </c>
      <c r="CD93" s="63">
        <f>data!$G38</f>
        <v>84</v>
      </c>
      <c r="CE93" s="70">
        <f t="shared" si="8"/>
        <v>6394.6666658731992</v>
      </c>
      <c r="CF93" s="71">
        <f t="shared" si="9"/>
        <v>0.92855547280709272</v>
      </c>
      <c r="CG93" s="71">
        <f t="shared" si="10"/>
        <v>0.71422189122837088</v>
      </c>
      <c r="CH93" s="72">
        <f t="shared" si="11"/>
        <v>8953.3333329718935</v>
      </c>
      <c r="CI93" s="70">
        <f t="shared" si="12"/>
        <v>537151.99993334874</v>
      </c>
      <c r="CJ93" s="72">
        <f t="shared" si="13"/>
        <v>2362.6666666666665</v>
      </c>
      <c r="CK93" s="45">
        <f t="shared" si="14"/>
        <v>3.7895033858515355</v>
      </c>
      <c r="CL93" s="70">
        <f t="shared" si="15"/>
        <v>152653.5975198494</v>
      </c>
    </row>
    <row r="94" spans="80:90">
      <c r="CB94" s="63">
        <v>18</v>
      </c>
      <c r="CC94" s="63">
        <f>data!$F39</f>
        <v>32</v>
      </c>
      <c r="CD94" s="63">
        <f>data!$G39</f>
        <v>60</v>
      </c>
      <c r="CE94" s="70">
        <f t="shared" si="8"/>
        <v>6975.9999991343993</v>
      </c>
      <c r="CF94" s="71">
        <f t="shared" si="9"/>
        <v>0.9460652051590539</v>
      </c>
      <c r="CG94" s="71">
        <f t="shared" si="10"/>
        <v>0.78426082063621583</v>
      </c>
      <c r="CH94" s="72">
        <f t="shared" si="11"/>
        <v>8894.9999994584196</v>
      </c>
      <c r="CI94" s="70">
        <f t="shared" si="12"/>
        <v>418559.99994806398</v>
      </c>
      <c r="CJ94" s="72">
        <f t="shared" si="13"/>
        <v>2405</v>
      </c>
      <c r="CK94" s="45">
        <f t="shared" si="14"/>
        <v>3.6985446983195094</v>
      </c>
      <c r="CL94" s="70">
        <f t="shared" si="15"/>
        <v>119620.54602650758</v>
      </c>
    </row>
    <row r="95" spans="80:90">
      <c r="CB95" s="63">
        <v>19</v>
      </c>
      <c r="CC95" s="63">
        <f>data!$F40</f>
        <v>33</v>
      </c>
      <c r="CD95" s="63">
        <f>data!$G40</f>
        <v>38</v>
      </c>
      <c r="CE95" s="70">
        <f t="shared" si="8"/>
        <v>7557.3333323956003</v>
      </c>
      <c r="CF95" s="71">
        <f t="shared" si="9"/>
        <v>0.96380611089247925</v>
      </c>
      <c r="CG95" s="71">
        <f t="shared" si="10"/>
        <v>0.85522444356991711</v>
      </c>
      <c r="CH95" s="72">
        <f t="shared" si="11"/>
        <v>8836.6666659449456</v>
      </c>
      <c r="CI95" s="70">
        <f t="shared" si="12"/>
        <v>287178.66663103283</v>
      </c>
      <c r="CJ95" s="72">
        <f t="shared" si="13"/>
        <v>2447.3333333333335</v>
      </c>
      <c r="CK95" s="45">
        <f t="shared" si="14"/>
        <v>3.6107327700673979</v>
      </c>
      <c r="CL95" s="70">
        <f t="shared" si="15"/>
        <v>82521.507234577992</v>
      </c>
    </row>
    <row r="96" spans="80:90">
      <c r="CB96" s="63">
        <v>20</v>
      </c>
      <c r="CC96" s="63">
        <f>data!$F41</f>
        <v>34</v>
      </c>
      <c r="CD96" s="63">
        <f>data!$G41</f>
        <v>22</v>
      </c>
      <c r="CE96" s="70">
        <f t="shared" si="8"/>
        <v>8138.6666656567995</v>
      </c>
      <c r="CF96" s="71">
        <f t="shared" si="9"/>
        <v>0.98178279855210582</v>
      </c>
      <c r="CG96" s="71">
        <f t="shared" si="10"/>
        <v>0.92713119420842327</v>
      </c>
      <c r="CH96" s="72">
        <f t="shared" si="11"/>
        <v>8778.3333324314735</v>
      </c>
      <c r="CI96" s="70">
        <f t="shared" si="12"/>
        <v>179050.66664444958</v>
      </c>
      <c r="CJ96" s="72">
        <f t="shared" si="13"/>
        <v>2489.6666666666665</v>
      </c>
      <c r="CK96" s="45">
        <f t="shared" si="14"/>
        <v>3.5259070822458725</v>
      </c>
      <c r="CL96" s="70">
        <f t="shared" si="15"/>
        <v>51723.709084674345</v>
      </c>
    </row>
    <row r="97" spans="79:90">
      <c r="CB97" s="63">
        <v>21</v>
      </c>
      <c r="CC97" s="63">
        <f>data!$F42</f>
        <v>35</v>
      </c>
      <c r="CD97" s="63">
        <f>data!$G42</f>
        <v>12</v>
      </c>
      <c r="CE97" s="70">
        <f t="shared" si="8"/>
        <v>8719.9999989179996</v>
      </c>
      <c r="CF97" s="71">
        <f t="shared" si="9"/>
        <v>1</v>
      </c>
      <c r="CG97" s="71">
        <f t="shared" si="10"/>
        <v>1</v>
      </c>
      <c r="CH97" s="72">
        <f t="shared" si="11"/>
        <v>8719.9999989179996</v>
      </c>
      <c r="CI97" s="70">
        <f t="shared" si="12"/>
        <v>104639.999987016</v>
      </c>
      <c r="CJ97" s="72">
        <f t="shared" si="13"/>
        <v>2532</v>
      </c>
      <c r="CK97" s="45">
        <f t="shared" si="14"/>
        <v>3.4439178510734596</v>
      </c>
      <c r="CL97" s="70">
        <f t="shared" si="15"/>
        <v>30384</v>
      </c>
    </row>
    <row r="98" spans="79:90">
      <c r="CB98" s="63">
        <v>22</v>
      </c>
      <c r="CC98" s="63">
        <f>data!$F43</f>
        <v>36</v>
      </c>
      <c r="CD98" s="63">
        <f>data!$G43</f>
        <v>5</v>
      </c>
      <c r="CE98" s="70">
        <f t="shared" si="8"/>
        <v>9301.3333321791997</v>
      </c>
      <c r="CF98" s="71">
        <f t="shared" si="9"/>
        <v>1</v>
      </c>
      <c r="CG98" s="71">
        <f t="shared" si="10"/>
        <v>1</v>
      </c>
      <c r="CH98" s="72">
        <f t="shared" si="11"/>
        <v>8661.6666654045257</v>
      </c>
      <c r="CI98" s="70">
        <f t="shared" si="12"/>
        <v>43308.333327022629</v>
      </c>
      <c r="CJ98" s="72">
        <f t="shared" si="13"/>
        <v>2574.3333333333335</v>
      </c>
      <c r="CK98" s="45">
        <f t="shared" si="14"/>
        <v>3.3646251451785028</v>
      </c>
      <c r="CL98" s="70">
        <f t="shared" si="15"/>
        <v>13822.243089260599</v>
      </c>
    </row>
    <row r="99" spans="79:90">
      <c r="CB99" s="63">
        <v>23</v>
      </c>
      <c r="CC99" s="63">
        <f>data!$F44</f>
        <v>37</v>
      </c>
      <c r="CD99" s="63">
        <f>data!$G44</f>
        <v>3</v>
      </c>
      <c r="CE99" s="70">
        <f t="shared" si="8"/>
        <v>9882.6666654403998</v>
      </c>
      <c r="CF99" s="71">
        <f t="shared" si="9"/>
        <v>1</v>
      </c>
      <c r="CG99" s="71">
        <f t="shared" si="10"/>
        <v>1</v>
      </c>
      <c r="CH99" s="72">
        <f t="shared" si="11"/>
        <v>8603.3333318910536</v>
      </c>
      <c r="CI99" s="70">
        <f t="shared" si="12"/>
        <v>25809.999995673163</v>
      </c>
      <c r="CJ99" s="72">
        <f t="shared" si="13"/>
        <v>2616.6666666666665</v>
      </c>
      <c r="CK99" s="45">
        <f t="shared" si="14"/>
        <v>3.2878980886207851</v>
      </c>
      <c r="CL99" s="70">
        <f t="shared" si="15"/>
        <v>9017.3111201138254</v>
      </c>
    </row>
    <row r="100" spans="79:90">
      <c r="CB100" s="63">
        <v>24</v>
      </c>
      <c r="CC100" s="63">
        <f>data!$F45</f>
        <v>38</v>
      </c>
      <c r="CD100" s="63">
        <f>data!$G45</f>
        <v>1</v>
      </c>
      <c r="CE100" s="70">
        <f t="shared" si="8"/>
        <v>10463.9999987016</v>
      </c>
      <c r="CF100" s="71">
        <f t="shared" si="9"/>
        <v>1</v>
      </c>
      <c r="CG100" s="71">
        <f t="shared" si="10"/>
        <v>1</v>
      </c>
      <c r="CH100" s="72">
        <f t="shared" si="11"/>
        <v>8544.9999983775797</v>
      </c>
      <c r="CI100" s="70">
        <f t="shared" si="12"/>
        <v>8544.9999983775797</v>
      </c>
      <c r="CJ100" s="72">
        <f t="shared" si="13"/>
        <v>2659</v>
      </c>
      <c r="CK100" s="45">
        <f t="shared" si="14"/>
        <v>3.2136141400442195</v>
      </c>
      <c r="CL100" s="70">
        <f t="shared" si="15"/>
        <v>3256.1469867560436</v>
      </c>
    </row>
    <row r="101" spans="79:90">
      <c r="CB101" s="63">
        <v>25</v>
      </c>
      <c r="CC101" s="63">
        <f>data!$F46</f>
        <v>39</v>
      </c>
      <c r="CD101" s="63">
        <f>data!$G46</f>
        <v>0</v>
      </c>
      <c r="CE101" s="70">
        <f t="shared" si="8"/>
        <v>11045.333331962798</v>
      </c>
      <c r="CF101" s="71">
        <f t="shared" si="9"/>
        <v>1</v>
      </c>
      <c r="CG101" s="71">
        <f t="shared" si="10"/>
        <v>1</v>
      </c>
      <c r="CH101" s="72">
        <f t="shared" si="11"/>
        <v>8486.6666648641058</v>
      </c>
      <c r="CI101" s="70">
        <f t="shared" si="12"/>
        <v>0</v>
      </c>
      <c r="CJ101" s="72">
        <f t="shared" si="13"/>
        <v>2701.3333333333335</v>
      </c>
      <c r="CK101" s="45">
        <f t="shared" si="14"/>
        <v>3.1416584396091207</v>
      </c>
      <c r="CL101" s="70">
        <f t="shared" si="15"/>
        <v>0</v>
      </c>
    </row>
    <row r="102" spans="79:90">
      <c r="CB102" s="63">
        <v>26</v>
      </c>
      <c r="CC102" s="63">
        <f>data!$F47</f>
        <v>40</v>
      </c>
      <c r="CD102" s="63">
        <f>data!$G47</f>
        <v>0</v>
      </c>
      <c r="CE102" s="70">
        <f t="shared" si="8"/>
        <v>11626.666665224</v>
      </c>
      <c r="CF102" s="71">
        <f t="shared" si="9"/>
        <v>1</v>
      </c>
      <c r="CG102" s="71">
        <f t="shared" si="10"/>
        <v>1</v>
      </c>
      <c r="CH102" s="72">
        <f t="shared" si="11"/>
        <v>8428.3333313506337</v>
      </c>
      <c r="CI102" s="70">
        <f t="shared" si="12"/>
        <v>0</v>
      </c>
      <c r="CJ102" s="72">
        <f t="shared" si="13"/>
        <v>2743.6666666666665</v>
      </c>
      <c r="CK102" s="45">
        <f t="shared" si="14"/>
        <v>3.0719232163834165</v>
      </c>
      <c r="CL102" s="70">
        <f t="shared" si="15"/>
        <v>0</v>
      </c>
    </row>
    <row r="103" spans="79:90">
      <c r="CB103" s="63">
        <v>27</v>
      </c>
      <c r="CC103" s="63">
        <f>data!$F48</f>
        <v>41</v>
      </c>
      <c r="CD103" s="63">
        <f>data!$G48</f>
        <v>0</v>
      </c>
      <c r="CE103" s="70">
        <f t="shared" si="8"/>
        <v>12207.9999984852</v>
      </c>
      <c r="CF103" s="71">
        <f t="shared" si="9"/>
        <v>1</v>
      </c>
      <c r="CG103" s="71">
        <f t="shared" si="10"/>
        <v>1</v>
      </c>
      <c r="CH103" s="72">
        <f t="shared" si="11"/>
        <v>8369.9999978371598</v>
      </c>
      <c r="CI103" s="70">
        <f t="shared" si="12"/>
        <v>0</v>
      </c>
      <c r="CJ103" s="72">
        <f t="shared" si="13"/>
        <v>2786</v>
      </c>
      <c r="CK103" s="45">
        <f t="shared" si="14"/>
        <v>3.004307249762082</v>
      </c>
      <c r="CL103" s="70">
        <f t="shared" si="15"/>
        <v>0</v>
      </c>
    </row>
    <row r="104" spans="79:90">
      <c r="CB104" s="63">
        <v>28</v>
      </c>
      <c r="CC104" s="63">
        <f>data!$F49</f>
        <v>42</v>
      </c>
      <c r="CD104" s="63">
        <f>data!$G49</f>
        <v>0</v>
      </c>
      <c r="CE104" s="70">
        <f t="shared" si="8"/>
        <v>12789.333331746398</v>
      </c>
      <c r="CF104" s="71">
        <f t="shared" si="9"/>
        <v>1</v>
      </c>
      <c r="CG104" s="71">
        <f t="shared" si="10"/>
        <v>1</v>
      </c>
      <c r="CH104" s="72">
        <f t="shared" si="11"/>
        <v>8311.6666643236858</v>
      </c>
      <c r="CI104" s="70">
        <f t="shared" si="12"/>
        <v>0</v>
      </c>
      <c r="CJ104" s="72">
        <f t="shared" si="13"/>
        <v>2828.3333333333335</v>
      </c>
      <c r="CK104" s="45">
        <f t="shared" si="14"/>
        <v>2.9387153792541021</v>
      </c>
      <c r="CL104" s="70">
        <f t="shared" si="15"/>
        <v>0</v>
      </c>
    </row>
    <row r="105" spans="79:90">
      <c r="CB105" s="63">
        <v>29</v>
      </c>
      <c r="CC105" s="63">
        <f>data!$F50</f>
        <v>43</v>
      </c>
      <c r="CD105" s="63">
        <f>data!$G50</f>
        <v>0</v>
      </c>
      <c r="CE105" s="70">
        <f t="shared" si="8"/>
        <v>13370.666665007599</v>
      </c>
      <c r="CF105" s="71">
        <f t="shared" si="9"/>
        <v>1</v>
      </c>
      <c r="CG105" s="71">
        <f t="shared" si="10"/>
        <v>1</v>
      </c>
      <c r="CH105" s="72">
        <f t="shared" si="11"/>
        <v>8253.3333308102137</v>
      </c>
      <c r="CI105" s="70">
        <f t="shared" si="12"/>
        <v>0</v>
      </c>
      <c r="CJ105" s="72">
        <f t="shared" si="13"/>
        <v>2870.6666666666665</v>
      </c>
      <c r="CK105" s="45">
        <f t="shared" si="14"/>
        <v>2.8750580576440599</v>
      </c>
      <c r="CL105" s="70">
        <f t="shared" si="15"/>
        <v>0</v>
      </c>
    </row>
    <row r="106" spans="79:90">
      <c r="CB106" s="63">
        <v>30</v>
      </c>
      <c r="CC106" s="63">
        <f>data!$F51</f>
        <v>44</v>
      </c>
      <c r="CD106" s="63">
        <f>data!$G51</f>
        <v>0</v>
      </c>
      <c r="CE106" s="70">
        <f t="shared" si="8"/>
        <v>13951.999998268799</v>
      </c>
      <c r="CF106" s="71">
        <f t="shared" si="9"/>
        <v>1</v>
      </c>
      <c r="CG106" s="71">
        <f t="shared" si="10"/>
        <v>1</v>
      </c>
      <c r="CH106" s="72">
        <f t="shared" si="11"/>
        <v>8194.9999972967398</v>
      </c>
      <c r="CI106" s="70">
        <f t="shared" si="12"/>
        <v>0</v>
      </c>
      <c r="CJ106" s="72">
        <f t="shared" si="13"/>
        <v>2913</v>
      </c>
      <c r="CK106" s="45">
        <f t="shared" si="14"/>
        <v>2.8132509431159423</v>
      </c>
      <c r="CL106" s="70">
        <f t="shared" si="15"/>
        <v>0</v>
      </c>
    </row>
    <row r="107" spans="79:90">
      <c r="CB107" s="63">
        <v>31</v>
      </c>
      <c r="CC107" s="63">
        <f>data!$F52</f>
        <v>45</v>
      </c>
      <c r="CD107" s="63">
        <f>data!$G52</f>
        <v>0</v>
      </c>
      <c r="CE107" s="70">
        <f t="shared" si="8"/>
        <v>14533.333331530001</v>
      </c>
      <c r="CF107" s="71">
        <f t="shared" si="9"/>
        <v>1</v>
      </c>
      <c r="CG107" s="71">
        <f t="shared" si="10"/>
        <v>1</v>
      </c>
      <c r="CH107" s="72">
        <f t="shared" si="11"/>
        <v>8136.6666637832668</v>
      </c>
      <c r="CI107" s="70">
        <f t="shared" si="12"/>
        <v>0</v>
      </c>
      <c r="CJ107" s="72">
        <f t="shared" si="13"/>
        <v>2955.3333333333335</v>
      </c>
      <c r="CK107" s="45">
        <f t="shared" si="14"/>
        <v>2.7532145264324157</v>
      </c>
      <c r="CL107" s="70">
        <f t="shared" si="15"/>
        <v>0</v>
      </c>
    </row>
    <row r="108" spans="79:90">
      <c r="CB108" s="63"/>
      <c r="CC108" s="63"/>
      <c r="CD108" s="63">
        <f>SUM(CD77:CD107)</f>
        <v>2080</v>
      </c>
      <c r="CE108" s="63"/>
      <c r="CF108" s="63"/>
      <c r="CG108" s="63"/>
      <c r="CH108" s="63"/>
      <c r="CI108" s="62">
        <f>SUM(CI77:CI107)</f>
        <v>7207716.6657696916</v>
      </c>
      <c r="CJ108" s="44"/>
      <c r="CK108" s="44"/>
      <c r="CL108" s="77">
        <f>SUM(CL77:CL107)</f>
        <v>2010757.4456777831</v>
      </c>
    </row>
    <row r="110" spans="79:90">
      <c r="CA110" s="28" t="s">
        <v>74</v>
      </c>
      <c r="CF110" s="29" t="str">
        <f>data!I7</f>
        <v>International</v>
      </c>
    </row>
    <row r="111" spans="79:90">
      <c r="CA111" s="28"/>
    </row>
    <row r="112" spans="79:90">
      <c r="CA112" s="28"/>
      <c r="CB112" s="37" t="s">
        <v>177</v>
      </c>
      <c r="CC112" s="38">
        <f>'Fixed Capacity unit'!$H$27</f>
        <v>4800</v>
      </c>
      <c r="CD112" s="39"/>
      <c r="CE112" s="40" t="s">
        <v>0</v>
      </c>
      <c r="CF112" s="41">
        <f>$CI$163/$CL$163</f>
        <v>3.156805857562321</v>
      </c>
    </row>
    <row r="113" spans="79:90">
      <c r="CA113" s="28"/>
    </row>
    <row r="114" spans="79:90" ht="15">
      <c r="CA114" s="28"/>
      <c r="CC114" s="44" t="s">
        <v>199</v>
      </c>
      <c r="CG114" s="44" t="s">
        <v>19</v>
      </c>
      <c r="CH114" s="61">
        <f>IF('Fixed Capacity unit'!$BD$26="Required test",data!$I$14,IF('Fixed Capacity unit'!$BD$37="Default",data!$I$14,$CK$118))</f>
        <v>0.27</v>
      </c>
      <c r="CK114" s="40" t="s">
        <v>61</v>
      </c>
      <c r="CL114" s="40" t="s">
        <v>60</v>
      </c>
    </row>
    <row r="115" spans="79:90">
      <c r="CA115" s="28"/>
      <c r="CB115" s="51" t="s">
        <v>18</v>
      </c>
      <c r="CC115" s="52">
        <f>'Fixed Capacity unit'!$H$27</f>
        <v>4800</v>
      </c>
      <c r="CG115" s="40" t="s">
        <v>189</v>
      </c>
      <c r="CH115" s="44">
        <f>data!$I$15</f>
        <v>1.077</v>
      </c>
      <c r="CJ115" s="83" t="s">
        <v>18</v>
      </c>
      <c r="CK115" s="44">
        <f>'Fixed Capacity unit'!$H$40</f>
        <v>2500</v>
      </c>
      <c r="CL115" s="44">
        <f>'Fixed Capacity unit'!H39</f>
        <v>3300</v>
      </c>
    </row>
    <row r="116" spans="79:90">
      <c r="CA116" s="28"/>
      <c r="CB116" s="51" t="s">
        <v>83</v>
      </c>
      <c r="CC116" s="52">
        <f>'Fixed Capacity unit'!$L$27</f>
        <v>1850</v>
      </c>
      <c r="CG116" s="40" t="s">
        <v>371</v>
      </c>
      <c r="CH116" s="44">
        <f>data!$I$16</f>
        <v>0.91400000000000003</v>
      </c>
      <c r="CJ116" s="83" t="s">
        <v>1</v>
      </c>
      <c r="CK116" s="44">
        <f>'Fixed Capacity unit'!$L$40</f>
        <v>480</v>
      </c>
      <c r="CL116" s="44">
        <f>'Fixed Capacity unit'!L39</f>
        <v>580</v>
      </c>
    </row>
    <row r="117" spans="79:90">
      <c r="CA117" s="28"/>
      <c r="CB117" s="44" t="s">
        <v>152</v>
      </c>
      <c r="CC117" s="61">
        <f>$CC$115/$CC$116</f>
        <v>2.5945945945945947</v>
      </c>
      <c r="CG117" s="40" t="s">
        <v>191</v>
      </c>
      <c r="CH117" s="44">
        <f>data!$I$17</f>
        <v>0.85899999999999999</v>
      </c>
      <c r="CJ117" s="83" t="s">
        <v>372</v>
      </c>
      <c r="CK117" s="61">
        <f>$CK$115/$CK$116</f>
        <v>5.208333333333333</v>
      </c>
      <c r="CL117" s="61">
        <f>$CL$115/$CL$116</f>
        <v>5.6896551724137927</v>
      </c>
    </row>
    <row r="118" spans="79:90">
      <c r="CA118" s="28"/>
      <c r="CB118" s="44"/>
      <c r="CG118" s="40" t="s">
        <v>347</v>
      </c>
      <c r="CH118" s="44">
        <f>data!$I$18</f>
        <v>1.25</v>
      </c>
      <c r="CJ118" s="40" t="s">
        <v>96</v>
      </c>
      <c r="CK118" s="150">
        <f>(1-($CK$117/$CL$117))/(1-($CK$115/$CL$115))</f>
        <v>0.34895833333333315</v>
      </c>
      <c r="CL118" s="150"/>
    </row>
    <row r="119" spans="79:90" ht="15">
      <c r="CA119" s="28"/>
      <c r="CB119" s="44"/>
      <c r="CC119" s="44" t="s">
        <v>134</v>
      </c>
      <c r="CG119" s="44" t="s">
        <v>271</v>
      </c>
      <c r="CH119" s="63">
        <f>data!$I$11</f>
        <v>20</v>
      </c>
    </row>
    <row r="120" spans="79:90" ht="15">
      <c r="CA120" s="28"/>
      <c r="CB120" s="51" t="s">
        <v>18</v>
      </c>
      <c r="CC120" s="52">
        <f>'Fixed Capacity unit'!$H$31</f>
        <v>5500</v>
      </c>
      <c r="CG120" s="44" t="s">
        <v>148</v>
      </c>
      <c r="CH120" s="63">
        <f>data!$I$12</f>
        <v>46</v>
      </c>
    </row>
    <row r="121" spans="79:90">
      <c r="CA121" s="28"/>
      <c r="CB121" s="51" t="s">
        <v>83</v>
      </c>
      <c r="CC121" s="52">
        <f>'Fixed Capacity unit'!$L$31</f>
        <v>1520</v>
      </c>
    </row>
    <row r="122" spans="79:90">
      <c r="CA122" s="28"/>
      <c r="CB122" s="44" t="s">
        <v>373</v>
      </c>
      <c r="CC122" s="61">
        <f>$CC$120/$CC$121</f>
        <v>3.6184210526315788</v>
      </c>
    </row>
    <row r="123" spans="79:90">
      <c r="CA123" s="28"/>
      <c r="CB123" s="44"/>
      <c r="CC123" s="44"/>
    </row>
    <row r="124" spans="79:90" ht="15">
      <c r="CA124" s="28"/>
      <c r="CB124" s="44"/>
      <c r="CC124" s="44" t="s">
        <v>355</v>
      </c>
    </row>
    <row r="125" spans="79:90">
      <c r="CA125" s="28"/>
      <c r="CB125" s="51" t="s">
        <v>18</v>
      </c>
      <c r="CC125" s="52">
        <f>IF('Fixed Capacity unit'!$BD$26="Required test",$CC$120*$CH$115,IF('Fixed Capacity unit'!$BD$34="Default",$CC$120*$CH$115,'Fixed Capacity unit'!$H$35))</f>
        <v>5923.5</v>
      </c>
    </row>
    <row r="126" spans="79:90">
      <c r="CA126" s="28"/>
      <c r="CB126" s="51" t="s">
        <v>83</v>
      </c>
      <c r="CC126" s="52">
        <f>IF('Fixed Capacity unit'!$BD$26="Required test",$CC$121*$CH$116,IF('Fixed Capacity unit'!$BD$34="Default",$CC$121*$CH$116,'Fixed Capacity unit'!$L$35))</f>
        <v>1389.28</v>
      </c>
    </row>
    <row r="127" spans="79:90">
      <c r="CA127" s="28"/>
      <c r="CB127" s="44" t="s">
        <v>215</v>
      </c>
      <c r="CC127" s="61">
        <f>$CC$125/$CC$126</f>
        <v>4.2637193366348036</v>
      </c>
    </row>
    <row r="128" spans="79:90">
      <c r="CA128" s="28"/>
      <c r="CB128" s="44"/>
      <c r="CC128" s="44"/>
    </row>
    <row r="129" spans="79:90">
      <c r="CA129" s="28"/>
      <c r="CB129" s="97" t="s">
        <v>5</v>
      </c>
      <c r="CC129" s="98" t="s">
        <v>7</v>
      </c>
      <c r="CD129" s="97" t="s">
        <v>8</v>
      </c>
      <c r="CE129" s="66" t="s">
        <v>9</v>
      </c>
      <c r="CF129" s="66" t="s">
        <v>10</v>
      </c>
      <c r="CG129" s="66" t="s">
        <v>20</v>
      </c>
      <c r="CH129" s="66" t="s">
        <v>11</v>
      </c>
      <c r="CI129" s="67" t="s">
        <v>2</v>
      </c>
      <c r="CJ129" s="66" t="s">
        <v>13</v>
      </c>
      <c r="CK129" s="66" t="s">
        <v>16</v>
      </c>
      <c r="CL129" s="67" t="s">
        <v>3</v>
      </c>
    </row>
    <row r="130" spans="79:90">
      <c r="CB130" s="97"/>
      <c r="CC130" s="98"/>
      <c r="CD130" s="97"/>
      <c r="CE130" s="67" t="s">
        <v>153</v>
      </c>
      <c r="CF130" s="96" t="s">
        <v>247</v>
      </c>
      <c r="CG130" s="96" t="s">
        <v>374</v>
      </c>
      <c r="CH130" s="68" t="s">
        <v>4</v>
      </c>
      <c r="CI130" s="96" t="s">
        <v>366</v>
      </c>
      <c r="CJ130" s="68" t="s">
        <v>4</v>
      </c>
      <c r="CK130" s="68" t="s">
        <v>4</v>
      </c>
      <c r="CL130" s="96" t="s">
        <v>277</v>
      </c>
    </row>
    <row r="131" spans="79:90" ht="15">
      <c r="CB131" s="63" t="s">
        <v>6</v>
      </c>
      <c r="CC131" s="63" t="s">
        <v>303</v>
      </c>
      <c r="CD131" s="63" t="s">
        <v>226</v>
      </c>
      <c r="CE131" s="68" t="s">
        <v>15</v>
      </c>
      <c r="CF131" s="99"/>
      <c r="CG131" s="99"/>
      <c r="CH131" s="67" t="s">
        <v>375</v>
      </c>
      <c r="CI131" s="96"/>
      <c r="CJ131" s="67" t="s">
        <v>362</v>
      </c>
      <c r="CK131" s="67" t="s">
        <v>370</v>
      </c>
      <c r="CL131" s="96"/>
    </row>
    <row r="132" spans="79:90">
      <c r="CB132" s="63">
        <v>1</v>
      </c>
      <c r="CC132" s="63">
        <f>data!$I22</f>
        <v>20</v>
      </c>
      <c r="CD132" s="63">
        <f>data!$J22</f>
        <v>0</v>
      </c>
      <c r="CE132" s="70">
        <f t="shared" ref="CE132:CE162" si="16">$CC$112*($CC132-$CH$119)/($CH$120-$CH$119)</f>
        <v>0</v>
      </c>
      <c r="CF132" s="71">
        <f t="shared" ref="CF132:CF162" si="17">1-$CH$114*(1-$CG132)</f>
        <v>0.73</v>
      </c>
      <c r="CG132" s="71">
        <f t="shared" ref="CG132:CG162" si="18">IF($CE132&lt;$CH132,$CE132/$CH132,1)</f>
        <v>0</v>
      </c>
      <c r="CH132" s="72">
        <f t="shared" ref="CH132:CH162" si="19">IF($CC132&lt;=35,$CC$120+($CC$125-$CC$120)/(35-29)*(35-$CC132),$CC$115+($CC$120-$CC$115)/(46-35)*(46-$CC132))</f>
        <v>6558.75</v>
      </c>
      <c r="CI132" s="70">
        <f t="shared" ref="CI132:CI162" si="20">IF($CE132&lt;$CH132,$CE132*$CD132,$CH132*$CD132)</f>
        <v>0</v>
      </c>
      <c r="CJ132" s="72">
        <f t="shared" ref="CJ132:CJ162" si="21">IF($CC132&lt;=35,$CC$121+($CC$126-$CC$121)/(35-29)*(35-$CC132),$CC$116+($CC$121-$CC$116)/(46-35)*(46-$CC132))</f>
        <v>1193.1999999999998</v>
      </c>
      <c r="CK132" s="45">
        <f t="shared" ref="CK132:CK162" si="22">$CH132/$CJ132</f>
        <v>5.4967733825008391</v>
      </c>
      <c r="CL132" s="70">
        <f t="shared" ref="CL132:CL162" si="23">IF($CF132=0,0,($CE132/$CH132)*$CJ132*$CD132/$CF132)</f>
        <v>0</v>
      </c>
    </row>
    <row r="133" spans="79:90">
      <c r="CB133" s="63">
        <v>2</v>
      </c>
      <c r="CC133" s="63">
        <f>data!$I23</f>
        <v>21</v>
      </c>
      <c r="CD133" s="63">
        <f>data!$J23</f>
        <v>307</v>
      </c>
      <c r="CE133" s="70">
        <f t="shared" si="16"/>
        <v>184.61538461538461</v>
      </c>
      <c r="CF133" s="71">
        <f t="shared" si="17"/>
        <v>0.73768262537123797</v>
      </c>
      <c r="CG133" s="71">
        <f t="shared" si="18"/>
        <v>2.8454168041622124E-2</v>
      </c>
      <c r="CH133" s="72">
        <f t="shared" si="19"/>
        <v>6488.166666666667</v>
      </c>
      <c r="CI133" s="70">
        <f t="shared" si="20"/>
        <v>56676.923076923078</v>
      </c>
      <c r="CJ133" s="72">
        <f t="shared" si="21"/>
        <v>1214.9866666666667</v>
      </c>
      <c r="CK133" s="45">
        <f t="shared" si="22"/>
        <v>5.340113471752777</v>
      </c>
      <c r="CL133" s="70">
        <f t="shared" si="23"/>
        <v>14387.529423821723</v>
      </c>
    </row>
    <row r="134" spans="79:90">
      <c r="CB134" s="63">
        <v>3</v>
      </c>
      <c r="CC134" s="63">
        <f>data!$I24</f>
        <v>22</v>
      </c>
      <c r="CD134" s="63">
        <f>data!$J24</f>
        <v>311</v>
      </c>
      <c r="CE134" s="70">
        <f t="shared" si="16"/>
        <v>369.23076923076923</v>
      </c>
      <c r="CF134" s="71">
        <f t="shared" si="17"/>
        <v>0.74553424435869797</v>
      </c>
      <c r="CG134" s="71">
        <f t="shared" si="18"/>
        <v>5.7534238365548183E-2</v>
      </c>
      <c r="CH134" s="72">
        <f t="shared" si="19"/>
        <v>6417.583333333333</v>
      </c>
      <c r="CI134" s="70">
        <f t="shared" si="20"/>
        <v>114830.76923076923</v>
      </c>
      <c r="CJ134" s="72">
        <f t="shared" si="21"/>
        <v>1236.7733333333333</v>
      </c>
      <c r="CK134" s="45">
        <f t="shared" si="22"/>
        <v>5.1889729187778952</v>
      </c>
      <c r="CL134" s="70">
        <f t="shared" si="23"/>
        <v>29683.10124733116</v>
      </c>
    </row>
    <row r="135" spans="79:90">
      <c r="CB135" s="63">
        <v>4</v>
      </c>
      <c r="CC135" s="63">
        <f>data!$I25</f>
        <v>23</v>
      </c>
      <c r="CD135" s="63">
        <f>data!$J25</f>
        <v>317</v>
      </c>
      <c r="CE135" s="70">
        <f t="shared" si="16"/>
        <v>553.84615384615381</v>
      </c>
      <c r="CF135" s="71">
        <f t="shared" si="17"/>
        <v>0.75356049496430777</v>
      </c>
      <c r="CG135" s="71">
        <f t="shared" si="18"/>
        <v>8.7261092460399217E-2</v>
      </c>
      <c r="CH135" s="72">
        <f t="shared" si="19"/>
        <v>6347</v>
      </c>
      <c r="CI135" s="70">
        <f t="shared" si="20"/>
        <v>175569.23076923075</v>
      </c>
      <c r="CJ135" s="72">
        <f t="shared" si="21"/>
        <v>1258.56</v>
      </c>
      <c r="CK135" s="45">
        <f t="shared" si="22"/>
        <v>5.0430650902618872</v>
      </c>
      <c r="CL135" s="70">
        <f t="shared" si="23"/>
        <v>46199.333483764021</v>
      </c>
    </row>
    <row r="136" spans="79:90">
      <c r="CB136" s="63">
        <v>5</v>
      </c>
      <c r="CC136" s="63">
        <f>data!$I26</f>
        <v>24</v>
      </c>
      <c r="CD136" s="63">
        <f>data!$J26</f>
        <v>325</v>
      </c>
      <c r="CE136" s="70">
        <f t="shared" si="16"/>
        <v>738.46153846153845</v>
      </c>
      <c r="CF136" s="71">
        <f t="shared" si="17"/>
        <v>0.7617672688053877</v>
      </c>
      <c r="CG136" s="71">
        <f t="shared" si="18"/>
        <v>0.1176565511310655</v>
      </c>
      <c r="CH136" s="72">
        <f t="shared" si="19"/>
        <v>6276.416666666667</v>
      </c>
      <c r="CI136" s="70">
        <f t="shared" si="20"/>
        <v>240000</v>
      </c>
      <c r="CJ136" s="72">
        <f t="shared" si="21"/>
        <v>1280.3466666666666</v>
      </c>
      <c r="CK136" s="45">
        <f t="shared" si="22"/>
        <v>4.9021228625580582</v>
      </c>
      <c r="CL136" s="70">
        <f t="shared" si="23"/>
        <v>64269.473429500053</v>
      </c>
    </row>
    <row r="137" spans="79:90">
      <c r="CB137" s="63">
        <v>6</v>
      </c>
      <c r="CC137" s="63">
        <f>data!$I27</f>
        <v>25</v>
      </c>
      <c r="CD137" s="63">
        <f>data!$J27</f>
        <v>334</v>
      </c>
      <c r="CE137" s="70">
        <f t="shared" si="16"/>
        <v>923.07692307692309</v>
      </c>
      <c r="CF137" s="71">
        <f t="shared" si="17"/>
        <v>0.77016072553738724</v>
      </c>
      <c r="CG137" s="71">
        <f t="shared" si="18"/>
        <v>0.1487434279162492</v>
      </c>
      <c r="CH137" s="72">
        <f t="shared" si="19"/>
        <v>6205.833333333333</v>
      </c>
      <c r="CI137" s="70">
        <f t="shared" si="20"/>
        <v>308307.69230769231</v>
      </c>
      <c r="CJ137" s="72">
        <f t="shared" si="21"/>
        <v>1302.1333333333332</v>
      </c>
      <c r="CK137" s="45">
        <f t="shared" si="22"/>
        <v>4.7658969895556016</v>
      </c>
      <c r="CL137" s="70">
        <f t="shared" si="23"/>
        <v>83995.949035964717</v>
      </c>
    </row>
    <row r="138" spans="79:90">
      <c r="CB138" s="63">
        <v>7</v>
      </c>
      <c r="CC138" s="63">
        <f>data!$I28</f>
        <v>26</v>
      </c>
      <c r="CD138" s="63">
        <f>data!$J28</f>
        <v>342</v>
      </c>
      <c r="CE138" s="70">
        <f t="shared" si="16"/>
        <v>1107.6923076923076</v>
      </c>
      <c r="CF138" s="71">
        <f t="shared" si="17"/>
        <v>0.77874730827218497</v>
      </c>
      <c r="CG138" s="71">
        <f t="shared" si="18"/>
        <v>0.18054558619327779</v>
      </c>
      <c r="CH138" s="72">
        <f t="shared" si="19"/>
        <v>6135.25</v>
      </c>
      <c r="CI138" s="70">
        <f t="shared" si="20"/>
        <v>378830.76923076919</v>
      </c>
      <c r="CJ138" s="72">
        <f t="shared" si="21"/>
        <v>1323.92</v>
      </c>
      <c r="CK138" s="45">
        <f t="shared" si="22"/>
        <v>4.6341546316998006</v>
      </c>
      <c r="CL138" s="70">
        <f t="shared" si="23"/>
        <v>104973.13467078512</v>
      </c>
    </row>
    <row r="139" spans="79:90">
      <c r="CB139" s="63">
        <v>8</v>
      </c>
      <c r="CC139" s="63">
        <f>data!$I29</f>
        <v>27</v>
      </c>
      <c r="CD139" s="63">
        <f>data!$J29</f>
        <v>349</v>
      </c>
      <c r="CE139" s="70">
        <f t="shared" si="16"/>
        <v>1292.3076923076924</v>
      </c>
      <c r="CF139" s="71">
        <f t="shared" si="17"/>
        <v>0.78753376007305875</v>
      </c>
      <c r="CG139" s="71">
        <f t="shared" si="18"/>
        <v>0.21308800027058794</v>
      </c>
      <c r="CH139" s="72">
        <f t="shared" si="19"/>
        <v>6064.666666666667</v>
      </c>
      <c r="CI139" s="70">
        <f t="shared" si="20"/>
        <v>451015.38461538462</v>
      </c>
      <c r="CJ139" s="72">
        <f t="shared" si="21"/>
        <v>1345.7066666666667</v>
      </c>
      <c r="CK139" s="45">
        <f t="shared" si="22"/>
        <v>4.5066780279010779</v>
      </c>
      <c r="CL139" s="70">
        <f t="shared" si="23"/>
        <v>127076.61693251687</v>
      </c>
    </row>
    <row r="140" spans="79:90">
      <c r="CB140" s="63">
        <v>9</v>
      </c>
      <c r="CC140" s="63">
        <f>data!$I30</f>
        <v>28</v>
      </c>
      <c r="CD140" s="63">
        <f>data!$J30</f>
        <v>354</v>
      </c>
      <c r="CE140" s="70">
        <f t="shared" si="16"/>
        <v>1476.9230769230769</v>
      </c>
      <c r="CF140" s="71">
        <f t="shared" si="17"/>
        <v>0.79652714161507554</v>
      </c>
      <c r="CG140" s="71">
        <f t="shared" si="18"/>
        <v>0.24639682079657613</v>
      </c>
      <c r="CH140" s="72">
        <f t="shared" si="19"/>
        <v>5994.083333333333</v>
      </c>
      <c r="CI140" s="70">
        <f t="shared" si="20"/>
        <v>522830.76923076925</v>
      </c>
      <c r="CJ140" s="72">
        <f t="shared" si="21"/>
        <v>1367.4933333333333</v>
      </c>
      <c r="CK140" s="45">
        <f t="shared" si="22"/>
        <v>4.3832632943975351</v>
      </c>
      <c r="CL140" s="70">
        <f t="shared" si="23"/>
        <v>149748.67927936013</v>
      </c>
    </row>
    <row r="141" spans="79:90">
      <c r="CB141" s="63">
        <v>10</v>
      </c>
      <c r="CC141" s="63">
        <f>data!$I31</f>
        <v>29</v>
      </c>
      <c r="CD141" s="63">
        <f>data!$J31</f>
        <v>356</v>
      </c>
      <c r="CE141" s="70">
        <f t="shared" si="16"/>
        <v>1661.5384615384614</v>
      </c>
      <c r="CF141" s="71">
        <f t="shared" si="17"/>
        <v>0.80573485010810919</v>
      </c>
      <c r="CG141" s="71">
        <f t="shared" si="18"/>
        <v>0.28049944484484873</v>
      </c>
      <c r="CH141" s="72">
        <f t="shared" si="19"/>
        <v>5923.5</v>
      </c>
      <c r="CI141" s="70">
        <f t="shared" si="20"/>
        <v>591507.69230769225</v>
      </c>
      <c r="CJ141" s="72">
        <f t="shared" si="21"/>
        <v>1389.28</v>
      </c>
      <c r="CK141" s="45">
        <f t="shared" si="22"/>
        <v>4.2637193366348036</v>
      </c>
      <c r="CL141" s="70">
        <f t="shared" si="23"/>
        <v>172178.78518064372</v>
      </c>
    </row>
    <row r="142" spans="79:90">
      <c r="CB142" s="63">
        <v>11</v>
      </c>
      <c r="CC142" s="63">
        <f>data!$I32</f>
        <v>30</v>
      </c>
      <c r="CD142" s="63">
        <f>data!$J32</f>
        <v>355</v>
      </c>
      <c r="CE142" s="70">
        <f t="shared" si="16"/>
        <v>1846.1538461538462</v>
      </c>
      <c r="CF142" s="71">
        <f t="shared" si="17"/>
        <v>0.81516463958907182</v>
      </c>
      <c r="CG142" s="71">
        <f t="shared" si="18"/>
        <v>0.31542459107063647</v>
      </c>
      <c r="CH142" s="72">
        <f t="shared" si="19"/>
        <v>5852.916666666667</v>
      </c>
      <c r="CI142" s="70">
        <f t="shared" si="20"/>
        <v>655384.61538461538</v>
      </c>
      <c r="CJ142" s="72">
        <f t="shared" si="21"/>
        <v>1411.0666666666666</v>
      </c>
      <c r="CK142" s="45">
        <f t="shared" si="22"/>
        <v>4.1478668619484083</v>
      </c>
      <c r="CL142" s="70">
        <f t="shared" si="23"/>
        <v>193832.27898421063</v>
      </c>
    </row>
    <row r="143" spans="79:90">
      <c r="CB143" s="63">
        <v>12</v>
      </c>
      <c r="CC143" s="63">
        <f>data!$I33</f>
        <v>31</v>
      </c>
      <c r="CD143" s="63">
        <f>data!$J33</f>
        <v>351</v>
      </c>
      <c r="CE143" s="70">
        <f t="shared" si="16"/>
        <v>2030.7692307692307</v>
      </c>
      <c r="CF143" s="71">
        <f t="shared" si="17"/>
        <v>0.82482464270035605</v>
      </c>
      <c r="CG143" s="71">
        <f t="shared" si="18"/>
        <v>0.35120238037168922</v>
      </c>
      <c r="CH143" s="72">
        <f t="shared" si="19"/>
        <v>5782.333333333333</v>
      </c>
      <c r="CI143" s="70">
        <f t="shared" si="20"/>
        <v>712800</v>
      </c>
      <c r="CJ143" s="72">
        <f t="shared" si="21"/>
        <v>1432.8533333333332</v>
      </c>
      <c r="CK143" s="45">
        <f t="shared" si="22"/>
        <v>4.0355374823196604</v>
      </c>
      <c r="CL143" s="70">
        <f t="shared" si="23"/>
        <v>214143.39223630418</v>
      </c>
    </row>
    <row r="144" spans="79:90">
      <c r="CB144" s="63">
        <v>13</v>
      </c>
      <c r="CC144" s="63">
        <f>data!$I34</f>
        <v>32</v>
      </c>
      <c r="CD144" s="63">
        <f>data!$J34</f>
        <v>344</v>
      </c>
      <c r="CE144" s="70">
        <f t="shared" si="16"/>
        <v>2215.3846153846152</v>
      </c>
      <c r="CF144" s="71">
        <f t="shared" si="17"/>
        <v>0.83472339408304741</v>
      </c>
      <c r="CG144" s="71">
        <f t="shared" si="18"/>
        <v>0.38786442252980524</v>
      </c>
      <c r="CH144" s="72">
        <f t="shared" si="19"/>
        <v>5711.75</v>
      </c>
      <c r="CI144" s="70">
        <f t="shared" si="20"/>
        <v>762092.30769230763</v>
      </c>
      <c r="CJ144" s="72">
        <f t="shared" si="21"/>
        <v>1454.6399999999999</v>
      </c>
      <c r="CK144" s="45">
        <f t="shared" si="22"/>
        <v>3.9265728977616456</v>
      </c>
      <c r="CL144" s="70">
        <f t="shared" si="23"/>
        <v>232515.18887611557</v>
      </c>
    </row>
    <row r="145" spans="80:90">
      <c r="CB145" s="63">
        <v>14</v>
      </c>
      <c r="CC145" s="63">
        <f>data!$I35</f>
        <v>33</v>
      </c>
      <c r="CD145" s="63">
        <f>data!$J35</f>
        <v>332</v>
      </c>
      <c r="CE145" s="70">
        <f t="shared" si="16"/>
        <v>2400</v>
      </c>
      <c r="CF145" s="71">
        <f t="shared" si="17"/>
        <v>0.84486985552633909</v>
      </c>
      <c r="CG145" s="71">
        <f t="shared" si="18"/>
        <v>0.42544390935681153</v>
      </c>
      <c r="CH145" s="72">
        <f t="shared" si="19"/>
        <v>5641.166666666667</v>
      </c>
      <c r="CI145" s="70">
        <f t="shared" si="20"/>
        <v>796800</v>
      </c>
      <c r="CJ145" s="72">
        <f t="shared" si="21"/>
        <v>1476.4266666666667</v>
      </c>
      <c r="CK145" s="45">
        <f t="shared" si="22"/>
        <v>3.8208241520066468</v>
      </c>
      <c r="CL145" s="70">
        <f t="shared" si="23"/>
        <v>246832.56713890712</v>
      </c>
    </row>
    <row r="146" spans="80:90">
      <c r="CB146" s="63">
        <v>15</v>
      </c>
      <c r="CC146" s="63">
        <f>data!$I36</f>
        <v>34</v>
      </c>
      <c r="CD146" s="63">
        <f>data!$J36</f>
        <v>317</v>
      </c>
      <c r="CE146" s="70">
        <f t="shared" si="16"/>
        <v>2584.6153846153848</v>
      </c>
      <c r="CF146" s="71">
        <f t="shared" si="17"/>
        <v>0.8552734430289145</v>
      </c>
      <c r="CG146" s="71">
        <f t="shared" si="18"/>
        <v>0.46397571492190554</v>
      </c>
      <c r="CH146" s="72">
        <f t="shared" si="19"/>
        <v>5570.583333333333</v>
      </c>
      <c r="CI146" s="70">
        <f t="shared" si="20"/>
        <v>819323.07692307699</v>
      </c>
      <c r="CJ146" s="72">
        <f t="shared" si="21"/>
        <v>1498.2133333333334</v>
      </c>
      <c r="CK146" s="45">
        <f t="shared" si="22"/>
        <v>3.7181509531352899</v>
      </c>
      <c r="CL146" s="70">
        <f t="shared" si="23"/>
        <v>257645.86842861943</v>
      </c>
    </row>
    <row r="147" spans="80:90">
      <c r="CB147" s="63">
        <v>16</v>
      </c>
      <c r="CC147" s="63">
        <f>data!$I37</f>
        <v>35</v>
      </c>
      <c r="CD147" s="63">
        <f>data!$J37</f>
        <v>299</v>
      </c>
      <c r="CE147" s="70">
        <f t="shared" si="16"/>
        <v>2769.2307692307691</v>
      </c>
      <c r="CF147" s="71">
        <f t="shared" si="17"/>
        <v>0.86594405594405588</v>
      </c>
      <c r="CG147" s="71">
        <f t="shared" si="18"/>
        <v>0.50349650349650343</v>
      </c>
      <c r="CH147" s="72">
        <f t="shared" si="19"/>
        <v>5500</v>
      </c>
      <c r="CI147" s="70">
        <f t="shared" si="20"/>
        <v>828000</v>
      </c>
      <c r="CJ147" s="72">
        <f t="shared" si="21"/>
        <v>1520</v>
      </c>
      <c r="CK147" s="45">
        <f t="shared" si="22"/>
        <v>3.6184210526315788</v>
      </c>
      <c r="CL147" s="70">
        <f t="shared" si="23"/>
        <v>264253.89647096826</v>
      </c>
    </row>
    <row r="148" spans="80:90">
      <c r="CB148" s="63">
        <v>17</v>
      </c>
      <c r="CC148" s="63">
        <f>data!$I38</f>
        <v>36</v>
      </c>
      <c r="CD148" s="63">
        <f>data!$J38</f>
        <v>277</v>
      </c>
      <c r="CE148" s="70">
        <f t="shared" si="16"/>
        <v>2953.8461538461538</v>
      </c>
      <c r="CF148" s="71">
        <f t="shared" si="17"/>
        <v>0.87670439927965016</v>
      </c>
      <c r="CG148" s="71">
        <f t="shared" si="18"/>
        <v>0.54334962696166711</v>
      </c>
      <c r="CH148" s="72">
        <f t="shared" si="19"/>
        <v>5436.363636363636</v>
      </c>
      <c r="CI148" s="70">
        <f t="shared" si="20"/>
        <v>818215.38461538462</v>
      </c>
      <c r="CJ148" s="72">
        <f t="shared" si="21"/>
        <v>1550</v>
      </c>
      <c r="CK148" s="45">
        <f t="shared" si="22"/>
        <v>3.5073313782991202</v>
      </c>
      <c r="CL148" s="70">
        <f t="shared" si="23"/>
        <v>266095.57625999558</v>
      </c>
    </row>
    <row r="149" spans="80:90">
      <c r="CB149" s="63">
        <v>18</v>
      </c>
      <c r="CC149" s="63">
        <f>data!$I39</f>
        <v>37</v>
      </c>
      <c r="CD149" s="63">
        <f>data!$J39</f>
        <v>252</v>
      </c>
      <c r="CE149" s="70">
        <f t="shared" si="16"/>
        <v>3138.4615384615386</v>
      </c>
      <c r="CF149" s="71">
        <f t="shared" si="17"/>
        <v>0.88771964076532606</v>
      </c>
      <c r="CG149" s="71">
        <f t="shared" si="18"/>
        <v>0.58414681764935572</v>
      </c>
      <c r="CH149" s="72">
        <f t="shared" si="19"/>
        <v>5372.727272727273</v>
      </c>
      <c r="CI149" s="70">
        <f t="shared" si="20"/>
        <v>790892.30769230775</v>
      </c>
      <c r="CJ149" s="72">
        <f t="shared" si="21"/>
        <v>1580</v>
      </c>
      <c r="CK149" s="45">
        <f t="shared" si="22"/>
        <v>3.4004602991944766</v>
      </c>
      <c r="CL149" s="70">
        <f t="shared" si="23"/>
        <v>262001.5219160307</v>
      </c>
    </row>
    <row r="150" spans="80:90">
      <c r="CB150" s="63">
        <v>19</v>
      </c>
      <c r="CC150" s="63">
        <f>data!$I40</f>
        <v>38</v>
      </c>
      <c r="CD150" s="63">
        <f>data!$J40</f>
        <v>225</v>
      </c>
      <c r="CE150" s="70">
        <f t="shared" si="16"/>
        <v>3323.0769230769229</v>
      </c>
      <c r="CF150" s="71">
        <f t="shared" si="17"/>
        <v>0.89899894625922028</v>
      </c>
      <c r="CG150" s="71">
        <f t="shared" si="18"/>
        <v>0.62592202318229717</v>
      </c>
      <c r="CH150" s="72">
        <f t="shared" si="19"/>
        <v>5309.090909090909</v>
      </c>
      <c r="CI150" s="70">
        <f t="shared" si="20"/>
        <v>747692.30769230763</v>
      </c>
      <c r="CJ150" s="72">
        <f t="shared" si="21"/>
        <v>1610</v>
      </c>
      <c r="CK150" s="45">
        <f t="shared" si="22"/>
        <v>3.2975719932241669</v>
      </c>
      <c r="CL150" s="70">
        <f t="shared" si="23"/>
        <v>252214.14757076715</v>
      </c>
    </row>
    <row r="151" spans="80:90">
      <c r="CB151" s="63">
        <v>20</v>
      </c>
      <c r="CC151" s="63">
        <f>data!$I41</f>
        <v>39</v>
      </c>
      <c r="CD151" s="63">
        <f>data!$J41</f>
        <v>195</v>
      </c>
      <c r="CE151" s="70">
        <f t="shared" si="16"/>
        <v>3507.6923076923076</v>
      </c>
      <c r="CF151" s="71">
        <f t="shared" si="17"/>
        <v>0.91055192640981197</v>
      </c>
      <c r="CG151" s="71">
        <f t="shared" si="18"/>
        <v>0.66871083855485935</v>
      </c>
      <c r="CH151" s="72">
        <f t="shared" si="19"/>
        <v>5245.454545454545</v>
      </c>
      <c r="CI151" s="70">
        <f t="shared" si="20"/>
        <v>684000</v>
      </c>
      <c r="CJ151" s="72">
        <f t="shared" si="21"/>
        <v>1640</v>
      </c>
      <c r="CK151" s="45">
        <f t="shared" si="22"/>
        <v>3.1984478935698446</v>
      </c>
      <c r="CL151" s="70">
        <f t="shared" si="23"/>
        <v>234861.64815777336</v>
      </c>
    </row>
    <row r="152" spans="80:90">
      <c r="CB152" s="63">
        <v>21</v>
      </c>
      <c r="CC152" s="63">
        <f>data!$I42</f>
        <v>40</v>
      </c>
      <c r="CD152" s="63">
        <f>data!$J42</f>
        <v>165</v>
      </c>
      <c r="CE152" s="70">
        <f t="shared" si="16"/>
        <v>3692.3076923076924</v>
      </c>
      <c r="CF152" s="71">
        <f t="shared" si="17"/>
        <v>0.92238866396761132</v>
      </c>
      <c r="CG152" s="71">
        <f t="shared" si="18"/>
        <v>0.71255060728744934</v>
      </c>
      <c r="CH152" s="72">
        <f t="shared" si="19"/>
        <v>5181.818181818182</v>
      </c>
      <c r="CI152" s="70">
        <f t="shared" si="20"/>
        <v>609230.76923076925</v>
      </c>
      <c r="CJ152" s="72">
        <f t="shared" si="21"/>
        <v>1670</v>
      </c>
      <c r="CK152" s="45">
        <f t="shared" si="22"/>
        <v>3.1028851388132828</v>
      </c>
      <c r="CL152" s="70">
        <f t="shared" si="23"/>
        <v>212863.97752710353</v>
      </c>
    </row>
    <row r="153" spans="80:90">
      <c r="CB153" s="63">
        <v>22</v>
      </c>
      <c r="CC153" s="63">
        <f>data!$I43</f>
        <v>41</v>
      </c>
      <c r="CD153" s="63">
        <f>data!$J43</f>
        <v>133</v>
      </c>
      <c r="CE153" s="70">
        <f t="shared" si="16"/>
        <v>3876.9230769230771</v>
      </c>
      <c r="CF153" s="71">
        <f t="shared" si="17"/>
        <v>0.93451974313430797</v>
      </c>
      <c r="CG153" s="71">
        <f t="shared" si="18"/>
        <v>0.75748053012706662</v>
      </c>
      <c r="CH153" s="72">
        <f t="shared" si="19"/>
        <v>5118.181818181818</v>
      </c>
      <c r="CI153" s="70">
        <f t="shared" si="20"/>
        <v>515630.76923076925</v>
      </c>
      <c r="CJ153" s="72">
        <f t="shared" si="21"/>
        <v>1700</v>
      </c>
      <c r="CK153" s="45">
        <f t="shared" si="22"/>
        <v>3.0106951871657754</v>
      </c>
      <c r="CL153" s="70">
        <f t="shared" si="23"/>
        <v>183266.69834423775</v>
      </c>
    </row>
    <row r="154" spans="80:90">
      <c r="CB154" s="63">
        <v>23</v>
      </c>
      <c r="CC154" s="63">
        <f>data!$I44</f>
        <v>42</v>
      </c>
      <c r="CD154" s="63">
        <f>data!$J44</f>
        <v>103</v>
      </c>
      <c r="CE154" s="70">
        <f t="shared" si="16"/>
        <v>4061.5384615384614</v>
      </c>
      <c r="CF154" s="71">
        <f t="shared" si="17"/>
        <v>0.94695628112894292</v>
      </c>
      <c r="CG154" s="71">
        <f t="shared" si="18"/>
        <v>0.80354178195904802</v>
      </c>
      <c r="CH154" s="72">
        <f t="shared" si="19"/>
        <v>5054.545454545455</v>
      </c>
      <c r="CI154" s="70">
        <f t="shared" si="20"/>
        <v>418338.4615384615</v>
      </c>
      <c r="CJ154" s="72">
        <f t="shared" si="21"/>
        <v>1730</v>
      </c>
      <c r="CK154" s="45">
        <f t="shared" si="22"/>
        <v>2.921702574881766</v>
      </c>
      <c r="CL154" s="70">
        <f t="shared" si="23"/>
        <v>151203.50641381525</v>
      </c>
    </row>
    <row r="155" spans="80:90">
      <c r="CB155" s="63">
        <v>24</v>
      </c>
      <c r="CC155" s="63">
        <f>data!$I45</f>
        <v>43</v>
      </c>
      <c r="CD155" s="63">
        <f>data!$J45</f>
        <v>73</v>
      </c>
      <c r="CE155" s="70">
        <f t="shared" si="16"/>
        <v>4246.1538461538457</v>
      </c>
      <c r="CF155" s="71">
        <f t="shared" si="17"/>
        <v>0.95970996216897853</v>
      </c>
      <c r="CG155" s="71">
        <f t="shared" si="18"/>
        <v>0.8507776376628835</v>
      </c>
      <c r="CH155" s="72">
        <f t="shared" si="19"/>
        <v>4990.909090909091</v>
      </c>
      <c r="CI155" s="70">
        <f t="shared" si="20"/>
        <v>309969.23076923075</v>
      </c>
      <c r="CJ155" s="72">
        <f t="shared" si="21"/>
        <v>1760</v>
      </c>
      <c r="CK155" s="45">
        <f t="shared" si="22"/>
        <v>2.8357438016528924</v>
      </c>
      <c r="CL155" s="70">
        <f t="shared" si="23"/>
        <v>113896.81799268554</v>
      </c>
    </row>
    <row r="156" spans="80:90">
      <c r="CB156" s="63">
        <v>25</v>
      </c>
      <c r="CC156" s="63">
        <f>data!$I46</f>
        <v>44</v>
      </c>
      <c r="CD156" s="63">
        <f>data!$J46</f>
        <v>47</v>
      </c>
      <c r="CE156" s="70">
        <f t="shared" si="16"/>
        <v>4430.7692307692305</v>
      </c>
      <c r="CF156" s="71">
        <f t="shared" si="17"/>
        <v>0.97279307408458704</v>
      </c>
      <c r="CG156" s="71">
        <f t="shared" si="18"/>
        <v>0.89923360772069261</v>
      </c>
      <c r="CH156" s="72">
        <f t="shared" si="19"/>
        <v>4927.272727272727</v>
      </c>
      <c r="CI156" s="70">
        <f t="shared" si="20"/>
        <v>208246.15384615384</v>
      </c>
      <c r="CJ156" s="72">
        <f t="shared" si="21"/>
        <v>1790</v>
      </c>
      <c r="CK156" s="45">
        <f t="shared" si="22"/>
        <v>2.7526663280853225</v>
      </c>
      <c r="CL156" s="70">
        <f t="shared" si="23"/>
        <v>77768.361466524671</v>
      </c>
    </row>
    <row r="157" spans="80:90">
      <c r="CB157" s="63">
        <v>26</v>
      </c>
      <c r="CC157" s="63">
        <f>data!$I47</f>
        <v>45</v>
      </c>
      <c r="CD157" s="63">
        <f>data!$J47</f>
        <v>24</v>
      </c>
      <c r="CE157" s="70">
        <f t="shared" si="16"/>
        <v>4615.3846153846152</v>
      </c>
      <c r="CF157" s="71">
        <f t="shared" si="17"/>
        <v>0.98621854780733287</v>
      </c>
      <c r="CG157" s="71">
        <f t="shared" si="18"/>
        <v>0.94895758447160306</v>
      </c>
      <c r="CH157" s="72">
        <f t="shared" si="19"/>
        <v>4863.636363636364</v>
      </c>
      <c r="CI157" s="70">
        <f t="shared" si="20"/>
        <v>110769.23076923077</v>
      </c>
      <c r="CJ157" s="72">
        <f t="shared" si="21"/>
        <v>1820</v>
      </c>
      <c r="CK157" s="45">
        <f t="shared" si="22"/>
        <v>2.6723276723276723</v>
      </c>
      <c r="CL157" s="70">
        <f t="shared" si="23"/>
        <v>42029.697557277497</v>
      </c>
    </row>
    <row r="158" spans="80:90">
      <c r="CB158" s="63">
        <v>27</v>
      </c>
      <c r="CC158" s="63">
        <f>data!$I48</f>
        <v>46</v>
      </c>
      <c r="CD158" s="63">
        <f>data!$J48</f>
        <v>6</v>
      </c>
      <c r="CE158" s="70">
        <f t="shared" si="16"/>
        <v>4800</v>
      </c>
      <c r="CF158" s="71">
        <f t="shared" si="17"/>
        <v>1</v>
      </c>
      <c r="CG158" s="71">
        <f t="shared" si="18"/>
        <v>1</v>
      </c>
      <c r="CH158" s="72">
        <f t="shared" si="19"/>
        <v>4800</v>
      </c>
      <c r="CI158" s="70">
        <f t="shared" si="20"/>
        <v>28800</v>
      </c>
      <c r="CJ158" s="72">
        <f t="shared" si="21"/>
        <v>1850</v>
      </c>
      <c r="CK158" s="45">
        <f t="shared" si="22"/>
        <v>2.5945945945945947</v>
      </c>
      <c r="CL158" s="70">
        <f t="shared" si="23"/>
        <v>11100</v>
      </c>
    </row>
    <row r="159" spans="80:90">
      <c r="CB159" s="63">
        <v>28</v>
      </c>
      <c r="CC159" s="63">
        <f>data!$I49</f>
        <v>47</v>
      </c>
      <c r="CD159" s="63">
        <f>data!$J49</f>
        <v>0</v>
      </c>
      <c r="CE159" s="70">
        <f t="shared" si="16"/>
        <v>4984.6153846153848</v>
      </c>
      <c r="CF159" s="71">
        <f t="shared" si="17"/>
        <v>1</v>
      </c>
      <c r="CG159" s="71">
        <f t="shared" si="18"/>
        <v>1</v>
      </c>
      <c r="CH159" s="72">
        <f t="shared" si="19"/>
        <v>4736.363636363636</v>
      </c>
      <c r="CI159" s="70">
        <f t="shared" si="20"/>
        <v>0</v>
      </c>
      <c r="CJ159" s="72">
        <f t="shared" si="21"/>
        <v>1880</v>
      </c>
      <c r="CK159" s="45">
        <f t="shared" si="22"/>
        <v>2.5193423597678914</v>
      </c>
      <c r="CL159" s="70">
        <f t="shared" si="23"/>
        <v>0</v>
      </c>
    </row>
    <row r="160" spans="80:90">
      <c r="CB160" s="63">
        <v>29</v>
      </c>
      <c r="CC160" s="63">
        <f>data!$I50</f>
        <v>48</v>
      </c>
      <c r="CD160" s="63">
        <f>data!$J50</f>
        <v>0</v>
      </c>
      <c r="CE160" s="70">
        <f t="shared" si="16"/>
        <v>5169.2307692307695</v>
      </c>
      <c r="CF160" s="71">
        <f t="shared" si="17"/>
        <v>1</v>
      </c>
      <c r="CG160" s="71">
        <f t="shared" si="18"/>
        <v>1</v>
      </c>
      <c r="CH160" s="72">
        <f t="shared" si="19"/>
        <v>4672.727272727273</v>
      </c>
      <c r="CI160" s="70">
        <f t="shared" si="20"/>
        <v>0</v>
      </c>
      <c r="CJ160" s="72">
        <f t="shared" si="21"/>
        <v>1910</v>
      </c>
      <c r="CK160" s="45">
        <f t="shared" si="22"/>
        <v>2.4464540694907186</v>
      </c>
      <c r="CL160" s="70">
        <f t="shared" si="23"/>
        <v>0</v>
      </c>
    </row>
    <row r="161" spans="79:90">
      <c r="CB161" s="63">
        <v>30</v>
      </c>
      <c r="CC161" s="63">
        <f>data!$I51</f>
        <v>49</v>
      </c>
      <c r="CD161" s="63">
        <f>data!$J51</f>
        <v>0</v>
      </c>
      <c r="CE161" s="70">
        <f t="shared" si="16"/>
        <v>5353.8461538461543</v>
      </c>
      <c r="CF161" s="71">
        <f t="shared" si="17"/>
        <v>1</v>
      </c>
      <c r="CG161" s="71">
        <f t="shared" si="18"/>
        <v>1</v>
      </c>
      <c r="CH161" s="72">
        <f t="shared" si="19"/>
        <v>4609.090909090909</v>
      </c>
      <c r="CI161" s="70">
        <f t="shared" si="20"/>
        <v>0</v>
      </c>
      <c r="CJ161" s="72">
        <f t="shared" si="21"/>
        <v>1940</v>
      </c>
      <c r="CK161" s="45">
        <f t="shared" si="22"/>
        <v>2.3758200562324272</v>
      </c>
      <c r="CL161" s="70">
        <f t="shared" si="23"/>
        <v>0</v>
      </c>
    </row>
    <row r="162" spans="79:90">
      <c r="CB162" s="63">
        <v>31</v>
      </c>
      <c r="CC162" s="63">
        <f>data!$I52</f>
        <v>50</v>
      </c>
      <c r="CD162" s="63">
        <f>data!$J52</f>
        <v>0</v>
      </c>
      <c r="CE162" s="70">
        <f t="shared" si="16"/>
        <v>5538.4615384615381</v>
      </c>
      <c r="CF162" s="71">
        <f t="shared" si="17"/>
        <v>1</v>
      </c>
      <c r="CG162" s="71">
        <f t="shared" si="18"/>
        <v>1</v>
      </c>
      <c r="CH162" s="72">
        <f t="shared" si="19"/>
        <v>4545.454545454545</v>
      </c>
      <c r="CI162" s="70">
        <f t="shared" si="20"/>
        <v>0</v>
      </c>
      <c r="CJ162" s="72">
        <f t="shared" si="21"/>
        <v>1970</v>
      </c>
      <c r="CK162" s="45">
        <f t="shared" si="22"/>
        <v>2.3073373327180433</v>
      </c>
      <c r="CL162" s="70">
        <f t="shared" si="23"/>
        <v>0</v>
      </c>
    </row>
    <row r="163" spans="79:90">
      <c r="CB163" s="63"/>
      <c r="CC163" s="63"/>
      <c r="CD163" s="63">
        <f>SUM(CD132:CD162)</f>
        <v>6493</v>
      </c>
      <c r="CE163" s="63"/>
      <c r="CF163" s="63"/>
      <c r="CG163" s="63"/>
      <c r="CH163" s="63"/>
      <c r="CI163" s="62">
        <f>SUM(CI132:CI162)</f>
        <v>12655753.846153848</v>
      </c>
      <c r="CK163" s="44"/>
      <c r="CL163" s="77">
        <f>SUM(CL132:CL162)</f>
        <v>4009037.7480250229</v>
      </c>
    </row>
    <row r="170" spans="79:90">
      <c r="CA170" s="28" t="s">
        <v>74</v>
      </c>
      <c r="CF170" s="29" t="str">
        <f>data!$K$7</f>
        <v>CUSTOM</v>
      </c>
    </row>
    <row r="171" spans="79:90">
      <c r="CA171" s="28"/>
    </row>
    <row r="172" spans="79:90">
      <c r="CA172" s="28"/>
      <c r="CB172" s="37" t="s">
        <v>262</v>
      </c>
      <c r="CC172" s="38">
        <f>'Fixed Capacity unit'!$H$27</f>
        <v>4800</v>
      </c>
      <c r="CD172" s="39"/>
      <c r="CE172" s="40" t="s">
        <v>0</v>
      </c>
      <c r="CF172" s="41">
        <f>$CI$223/$CL$223</f>
        <v>3.156805857562321</v>
      </c>
    </row>
    <row r="173" spans="79:90">
      <c r="CA173" s="28"/>
    </row>
    <row r="174" spans="79:90" ht="15">
      <c r="CA174" s="28"/>
      <c r="CC174" s="44" t="s">
        <v>199</v>
      </c>
      <c r="CG174" s="44" t="s">
        <v>19</v>
      </c>
      <c r="CH174" s="61">
        <f>IF('Fixed Capacity unit'!$BD$26="Required test",data!$K$14,IF('Fixed Capacity unit'!$BD$37="Default",data!$K$14,$CK$178))</f>
        <v>0.27</v>
      </c>
      <c r="CK174" s="40" t="s">
        <v>61</v>
      </c>
      <c r="CL174" s="40" t="s">
        <v>60</v>
      </c>
    </row>
    <row r="175" spans="79:90">
      <c r="CA175" s="28"/>
      <c r="CB175" s="51" t="s">
        <v>18</v>
      </c>
      <c r="CC175" s="52">
        <f>'Fixed Capacity unit'!$H$27</f>
        <v>4800</v>
      </c>
      <c r="CG175" s="40" t="s">
        <v>376</v>
      </c>
      <c r="CH175" s="44">
        <f>data!$K$15</f>
        <v>1.077</v>
      </c>
      <c r="CJ175" s="83" t="s">
        <v>18</v>
      </c>
      <c r="CK175" s="44">
        <f>'Fixed Capacity unit'!$H$40</f>
        <v>2500</v>
      </c>
      <c r="CL175" s="44">
        <f>'Fixed Capacity unit'!H39</f>
        <v>3300</v>
      </c>
    </row>
    <row r="176" spans="79:90">
      <c r="CA176" s="28"/>
      <c r="CB176" s="51" t="s">
        <v>83</v>
      </c>
      <c r="CC176" s="52">
        <f>'Fixed Capacity unit'!$L$27</f>
        <v>1850</v>
      </c>
      <c r="CG176" s="40" t="s">
        <v>190</v>
      </c>
      <c r="CH176" s="44">
        <f>data!$K$16</f>
        <v>0.91400000000000003</v>
      </c>
      <c r="CJ176" s="83" t="s">
        <v>1</v>
      </c>
      <c r="CK176" s="44">
        <f>'Fixed Capacity unit'!$L$40</f>
        <v>480</v>
      </c>
      <c r="CL176" s="44">
        <f>'Fixed Capacity unit'!L39</f>
        <v>580</v>
      </c>
    </row>
    <row r="177" spans="79:90">
      <c r="CA177" s="28"/>
      <c r="CB177" s="44" t="s">
        <v>152</v>
      </c>
      <c r="CC177" s="61">
        <f>$CC$175/$CC$176</f>
        <v>2.5945945945945947</v>
      </c>
      <c r="CG177" s="40" t="s">
        <v>191</v>
      </c>
      <c r="CH177" s="44">
        <f>data!$K$17</f>
        <v>0.85899999999999999</v>
      </c>
      <c r="CJ177" s="83" t="s">
        <v>377</v>
      </c>
      <c r="CK177" s="61">
        <f>$CK$175/$CK$176</f>
        <v>5.208333333333333</v>
      </c>
      <c r="CL177" s="61">
        <f>$CL$175/$CL$176</f>
        <v>5.6896551724137927</v>
      </c>
    </row>
    <row r="178" spans="79:90">
      <c r="CA178" s="28"/>
      <c r="CB178" s="44"/>
      <c r="CG178" s="40" t="s">
        <v>347</v>
      </c>
      <c r="CH178" s="44">
        <f>data!$K$18</f>
        <v>1.25</v>
      </c>
      <c r="CJ178" s="40" t="s">
        <v>76</v>
      </c>
      <c r="CK178" s="150">
        <f>(1-($CK$177/$CL$177))/(1-($CK$175/$CL$175))</f>
        <v>0.34895833333333315</v>
      </c>
      <c r="CL178" s="150"/>
    </row>
    <row r="179" spans="79:90" ht="15">
      <c r="CA179" s="28"/>
      <c r="CB179" s="44"/>
      <c r="CC179" s="44" t="s">
        <v>378</v>
      </c>
      <c r="CG179" s="44" t="s">
        <v>379</v>
      </c>
      <c r="CH179" s="63">
        <f>data!$K$11</f>
        <v>20</v>
      </c>
    </row>
    <row r="180" spans="79:90" ht="15">
      <c r="CA180" s="28"/>
      <c r="CB180" s="51" t="s">
        <v>18</v>
      </c>
      <c r="CC180" s="52">
        <f>'Fixed Capacity unit'!$H$31</f>
        <v>5500</v>
      </c>
      <c r="CG180" s="44" t="s">
        <v>148</v>
      </c>
      <c r="CH180" s="63">
        <f>data!$K$12</f>
        <v>46</v>
      </c>
    </row>
    <row r="181" spans="79:90">
      <c r="CA181" s="28"/>
      <c r="CB181" s="51" t="s">
        <v>83</v>
      </c>
      <c r="CC181" s="52">
        <f>'Fixed Capacity unit'!$L$31</f>
        <v>1520</v>
      </c>
    </row>
    <row r="182" spans="79:90">
      <c r="CA182" s="28"/>
      <c r="CB182" s="44" t="s">
        <v>373</v>
      </c>
      <c r="CC182" s="61">
        <f>$CC$180/$CC$181</f>
        <v>3.6184210526315788</v>
      </c>
    </row>
    <row r="183" spans="79:90">
      <c r="CA183" s="28"/>
      <c r="CB183" s="44"/>
      <c r="CC183" s="44"/>
    </row>
    <row r="184" spans="79:90" ht="15">
      <c r="CA184" s="28"/>
      <c r="CB184" s="44"/>
      <c r="CC184" s="44" t="s">
        <v>272</v>
      </c>
    </row>
    <row r="185" spans="79:90">
      <c r="CA185" s="28"/>
      <c r="CB185" s="51" t="s">
        <v>18</v>
      </c>
      <c r="CC185" s="52">
        <f>IF('Fixed Capacity unit'!$BD$26="Required test",$CC$180*$CH$175,IF('Fixed Capacity unit'!$BD$34="Default",$CC$180*$CH$175,'Fixed Capacity unit'!$H$35))</f>
        <v>5923.5</v>
      </c>
    </row>
    <row r="186" spans="79:90">
      <c r="CA186" s="28"/>
      <c r="CB186" s="51" t="s">
        <v>83</v>
      </c>
      <c r="CC186" s="52">
        <f>IF('Fixed Capacity unit'!$BD$26="Required test",$CC$181*$CH$176,IF('Fixed Capacity unit'!$BD$34="Default",$CC$181*$CH$176,'Fixed Capacity unit'!$L$35))</f>
        <v>1389.28</v>
      </c>
    </row>
    <row r="187" spans="79:90">
      <c r="CA187" s="28"/>
      <c r="CB187" s="44" t="s">
        <v>373</v>
      </c>
      <c r="CC187" s="61">
        <f>$CC$185/$CC$186</f>
        <v>4.2637193366348036</v>
      </c>
    </row>
    <row r="188" spans="79:90">
      <c r="CA188" s="28"/>
      <c r="CB188" s="44"/>
      <c r="CC188" s="44"/>
    </row>
    <row r="189" spans="79:90">
      <c r="CA189" s="28"/>
      <c r="CB189" s="97" t="s">
        <v>5</v>
      </c>
      <c r="CC189" s="98" t="s">
        <v>7</v>
      </c>
      <c r="CD189" s="97" t="s">
        <v>8</v>
      </c>
      <c r="CE189" s="66" t="s">
        <v>9</v>
      </c>
      <c r="CF189" s="66" t="s">
        <v>10</v>
      </c>
      <c r="CG189" s="66" t="s">
        <v>20</v>
      </c>
      <c r="CH189" s="66" t="s">
        <v>11</v>
      </c>
      <c r="CI189" s="67" t="s">
        <v>2</v>
      </c>
      <c r="CJ189" s="66" t="s">
        <v>13</v>
      </c>
      <c r="CK189" s="66" t="s">
        <v>16</v>
      </c>
      <c r="CL189" s="67" t="s">
        <v>3</v>
      </c>
    </row>
    <row r="190" spans="79:90">
      <c r="CB190" s="97"/>
      <c r="CC190" s="98"/>
      <c r="CD190" s="97"/>
      <c r="CE190" s="67" t="s">
        <v>246</v>
      </c>
      <c r="CF190" s="96" t="s">
        <v>380</v>
      </c>
      <c r="CG190" s="96" t="s">
        <v>358</v>
      </c>
      <c r="CH190" s="68" t="s">
        <v>4</v>
      </c>
      <c r="CI190" s="96" t="s">
        <v>300</v>
      </c>
      <c r="CJ190" s="68" t="s">
        <v>4</v>
      </c>
      <c r="CK190" s="68" t="s">
        <v>4</v>
      </c>
      <c r="CL190" s="96" t="s">
        <v>360</v>
      </c>
    </row>
    <row r="191" spans="79:90" ht="15">
      <c r="CB191" s="63" t="s">
        <v>6</v>
      </c>
      <c r="CC191" s="63" t="s">
        <v>367</v>
      </c>
      <c r="CD191" s="63" t="s">
        <v>160</v>
      </c>
      <c r="CE191" s="68" t="s">
        <v>15</v>
      </c>
      <c r="CF191" s="99"/>
      <c r="CG191" s="99"/>
      <c r="CH191" s="67" t="s">
        <v>381</v>
      </c>
      <c r="CI191" s="96"/>
      <c r="CJ191" s="67" t="s">
        <v>310</v>
      </c>
      <c r="CK191" s="67" t="s">
        <v>232</v>
      </c>
      <c r="CL191" s="96"/>
    </row>
    <row r="192" spans="79:90">
      <c r="CB192" s="63">
        <v>1</v>
      </c>
      <c r="CC192" s="63">
        <f>data!$K22</f>
        <v>20</v>
      </c>
      <c r="CD192" s="63">
        <f>data!$L22</f>
        <v>0</v>
      </c>
      <c r="CE192" s="70">
        <f t="shared" ref="CE192:CE222" si="24">$CC$172*($CC192-$CH$179)/($CH$180-$CH$179)</f>
        <v>0</v>
      </c>
      <c r="CF192" s="71">
        <f t="shared" ref="CF192:CF222" si="25">1-$CH$174*(1-$CG192)</f>
        <v>0.73</v>
      </c>
      <c r="CG192" s="71">
        <f t="shared" ref="CG192:CG222" si="26">IF($CE192&lt;$CH192,$CE192/$CH192,1)</f>
        <v>0</v>
      </c>
      <c r="CH192" s="72">
        <f t="shared" ref="CH192:CH222" si="27">IF($CC192&lt;=35,$CC$180+($CC$185-$CC$180)/(35-29)*(35-$CC192),$CC$175+($CC$180-$CC$175)/(46-35)*(46-$CC192))</f>
        <v>6558.75</v>
      </c>
      <c r="CI192" s="70">
        <f t="shared" ref="CI192:CI222" si="28">IF($CE192&lt;$CH192,$CE192*$CD192,$CH192*$CD192)</f>
        <v>0</v>
      </c>
      <c r="CJ192" s="72">
        <f t="shared" ref="CJ192:CJ222" si="29">IF($CC192&lt;=35,$CC$181+($CC$186-$CC$181)/(35-29)*(35-$CC192),$CC$176+($CC$181-$CC$176)/(46-35)*(46-$CC192))</f>
        <v>1193.1999999999998</v>
      </c>
      <c r="CK192" s="45">
        <f t="shared" ref="CK192:CK222" si="30">$CH192/$CJ192</f>
        <v>5.4967733825008391</v>
      </c>
      <c r="CL192" s="70">
        <f t="shared" ref="CL192:CL222" si="31">IF($CF192=0,0,($CE192/$CH192)*$CJ192*$CD192/$CF192)</f>
        <v>0</v>
      </c>
    </row>
    <row r="193" spans="80:90">
      <c r="CB193" s="63">
        <v>2</v>
      </c>
      <c r="CC193" s="63">
        <f>data!$K23</f>
        <v>21</v>
      </c>
      <c r="CD193" s="63">
        <f>data!$L23</f>
        <v>307</v>
      </c>
      <c r="CE193" s="70">
        <f t="shared" si="24"/>
        <v>184.61538461538461</v>
      </c>
      <c r="CF193" s="71">
        <f t="shared" si="25"/>
        <v>0.73768262537123797</v>
      </c>
      <c r="CG193" s="71">
        <f t="shared" si="26"/>
        <v>2.8454168041622124E-2</v>
      </c>
      <c r="CH193" s="72">
        <f t="shared" si="27"/>
        <v>6488.166666666667</v>
      </c>
      <c r="CI193" s="70">
        <f t="shared" si="28"/>
        <v>56676.923076923078</v>
      </c>
      <c r="CJ193" s="72">
        <f t="shared" si="29"/>
        <v>1214.9866666666667</v>
      </c>
      <c r="CK193" s="45">
        <f t="shared" si="30"/>
        <v>5.340113471752777</v>
      </c>
      <c r="CL193" s="70">
        <f t="shared" si="31"/>
        <v>14387.529423821723</v>
      </c>
    </row>
    <row r="194" spans="80:90">
      <c r="CB194" s="63">
        <v>3</v>
      </c>
      <c r="CC194" s="63">
        <f>data!$K24</f>
        <v>22</v>
      </c>
      <c r="CD194" s="63">
        <f>data!$L24</f>
        <v>311</v>
      </c>
      <c r="CE194" s="70">
        <f t="shared" si="24"/>
        <v>369.23076923076923</v>
      </c>
      <c r="CF194" s="71">
        <f t="shared" si="25"/>
        <v>0.74553424435869797</v>
      </c>
      <c r="CG194" s="71">
        <f t="shared" si="26"/>
        <v>5.7534238365548183E-2</v>
      </c>
      <c r="CH194" s="72">
        <f t="shared" si="27"/>
        <v>6417.583333333333</v>
      </c>
      <c r="CI194" s="70">
        <f t="shared" si="28"/>
        <v>114830.76923076923</v>
      </c>
      <c r="CJ194" s="72">
        <f t="shared" si="29"/>
        <v>1236.7733333333333</v>
      </c>
      <c r="CK194" s="45">
        <f t="shared" si="30"/>
        <v>5.1889729187778952</v>
      </c>
      <c r="CL194" s="70">
        <f t="shared" si="31"/>
        <v>29683.10124733116</v>
      </c>
    </row>
    <row r="195" spans="80:90">
      <c r="CB195" s="63">
        <v>4</v>
      </c>
      <c r="CC195" s="63">
        <f>data!$K25</f>
        <v>23</v>
      </c>
      <c r="CD195" s="63">
        <f>data!$L25</f>
        <v>317</v>
      </c>
      <c r="CE195" s="70">
        <f t="shared" si="24"/>
        <v>553.84615384615381</v>
      </c>
      <c r="CF195" s="71">
        <f t="shared" si="25"/>
        <v>0.75356049496430777</v>
      </c>
      <c r="CG195" s="71">
        <f t="shared" si="26"/>
        <v>8.7261092460399217E-2</v>
      </c>
      <c r="CH195" s="72">
        <f t="shared" si="27"/>
        <v>6347</v>
      </c>
      <c r="CI195" s="70">
        <f t="shared" si="28"/>
        <v>175569.23076923075</v>
      </c>
      <c r="CJ195" s="72">
        <f t="shared" si="29"/>
        <v>1258.56</v>
      </c>
      <c r="CK195" s="45">
        <f t="shared" si="30"/>
        <v>5.0430650902618872</v>
      </c>
      <c r="CL195" s="70">
        <f t="shared" si="31"/>
        <v>46199.333483764021</v>
      </c>
    </row>
    <row r="196" spans="80:90">
      <c r="CB196" s="63">
        <v>5</v>
      </c>
      <c r="CC196" s="63">
        <f>data!$K26</f>
        <v>24</v>
      </c>
      <c r="CD196" s="63">
        <f>data!$L26</f>
        <v>325</v>
      </c>
      <c r="CE196" s="70">
        <f t="shared" si="24"/>
        <v>738.46153846153845</v>
      </c>
      <c r="CF196" s="71">
        <f t="shared" si="25"/>
        <v>0.7617672688053877</v>
      </c>
      <c r="CG196" s="71">
        <f t="shared" si="26"/>
        <v>0.1176565511310655</v>
      </c>
      <c r="CH196" s="72">
        <f t="shared" si="27"/>
        <v>6276.416666666667</v>
      </c>
      <c r="CI196" s="70">
        <f t="shared" si="28"/>
        <v>240000</v>
      </c>
      <c r="CJ196" s="72">
        <f t="shared" si="29"/>
        <v>1280.3466666666666</v>
      </c>
      <c r="CK196" s="45">
        <f t="shared" si="30"/>
        <v>4.9021228625580582</v>
      </c>
      <c r="CL196" s="70">
        <f t="shared" si="31"/>
        <v>64269.473429500053</v>
      </c>
    </row>
    <row r="197" spans="80:90">
      <c r="CB197" s="63">
        <v>6</v>
      </c>
      <c r="CC197" s="63">
        <f>data!$K27</f>
        <v>25</v>
      </c>
      <c r="CD197" s="63">
        <f>data!$L27</f>
        <v>334</v>
      </c>
      <c r="CE197" s="70">
        <f t="shared" si="24"/>
        <v>923.07692307692309</v>
      </c>
      <c r="CF197" s="71">
        <f t="shared" si="25"/>
        <v>0.77016072553738724</v>
      </c>
      <c r="CG197" s="71">
        <f t="shared" si="26"/>
        <v>0.1487434279162492</v>
      </c>
      <c r="CH197" s="72">
        <f t="shared" si="27"/>
        <v>6205.833333333333</v>
      </c>
      <c r="CI197" s="70">
        <f t="shared" si="28"/>
        <v>308307.69230769231</v>
      </c>
      <c r="CJ197" s="72">
        <f t="shared" si="29"/>
        <v>1302.1333333333332</v>
      </c>
      <c r="CK197" s="45">
        <f t="shared" si="30"/>
        <v>4.7658969895556016</v>
      </c>
      <c r="CL197" s="70">
        <f t="shared" si="31"/>
        <v>83995.949035964717</v>
      </c>
    </row>
    <row r="198" spans="80:90">
      <c r="CB198" s="63">
        <v>7</v>
      </c>
      <c r="CC198" s="63">
        <f>data!$K28</f>
        <v>26</v>
      </c>
      <c r="CD198" s="63">
        <f>data!$L28</f>
        <v>342</v>
      </c>
      <c r="CE198" s="70">
        <f t="shared" si="24"/>
        <v>1107.6923076923076</v>
      </c>
      <c r="CF198" s="71">
        <f t="shared" si="25"/>
        <v>0.77874730827218497</v>
      </c>
      <c r="CG198" s="71">
        <f t="shared" si="26"/>
        <v>0.18054558619327779</v>
      </c>
      <c r="CH198" s="72">
        <f t="shared" si="27"/>
        <v>6135.25</v>
      </c>
      <c r="CI198" s="70">
        <f t="shared" si="28"/>
        <v>378830.76923076919</v>
      </c>
      <c r="CJ198" s="72">
        <f t="shared" si="29"/>
        <v>1323.92</v>
      </c>
      <c r="CK198" s="45">
        <f t="shared" si="30"/>
        <v>4.6341546316998006</v>
      </c>
      <c r="CL198" s="70">
        <f t="shared" si="31"/>
        <v>104973.13467078512</v>
      </c>
    </row>
    <row r="199" spans="80:90">
      <c r="CB199" s="63">
        <v>8</v>
      </c>
      <c r="CC199" s="63">
        <f>data!$K29</f>
        <v>27</v>
      </c>
      <c r="CD199" s="63">
        <f>data!$L29</f>
        <v>349</v>
      </c>
      <c r="CE199" s="70">
        <f t="shared" si="24"/>
        <v>1292.3076923076924</v>
      </c>
      <c r="CF199" s="71">
        <f t="shared" si="25"/>
        <v>0.78753376007305875</v>
      </c>
      <c r="CG199" s="71">
        <f t="shared" si="26"/>
        <v>0.21308800027058794</v>
      </c>
      <c r="CH199" s="72">
        <f t="shared" si="27"/>
        <v>6064.666666666667</v>
      </c>
      <c r="CI199" s="70">
        <f t="shared" si="28"/>
        <v>451015.38461538462</v>
      </c>
      <c r="CJ199" s="72">
        <f t="shared" si="29"/>
        <v>1345.7066666666667</v>
      </c>
      <c r="CK199" s="45">
        <f t="shared" si="30"/>
        <v>4.5066780279010779</v>
      </c>
      <c r="CL199" s="70">
        <f t="shared" si="31"/>
        <v>127076.61693251687</v>
      </c>
    </row>
    <row r="200" spans="80:90">
      <c r="CB200" s="63">
        <v>9</v>
      </c>
      <c r="CC200" s="63">
        <f>data!$K30</f>
        <v>28</v>
      </c>
      <c r="CD200" s="63">
        <f>data!$L30</f>
        <v>354</v>
      </c>
      <c r="CE200" s="70">
        <f t="shared" si="24"/>
        <v>1476.9230769230769</v>
      </c>
      <c r="CF200" s="71">
        <f t="shared" si="25"/>
        <v>0.79652714161507554</v>
      </c>
      <c r="CG200" s="71">
        <f t="shared" si="26"/>
        <v>0.24639682079657613</v>
      </c>
      <c r="CH200" s="72">
        <f t="shared" si="27"/>
        <v>5994.083333333333</v>
      </c>
      <c r="CI200" s="70">
        <f t="shared" si="28"/>
        <v>522830.76923076925</v>
      </c>
      <c r="CJ200" s="72">
        <f t="shared" si="29"/>
        <v>1367.4933333333333</v>
      </c>
      <c r="CK200" s="45">
        <f t="shared" si="30"/>
        <v>4.3832632943975351</v>
      </c>
      <c r="CL200" s="70">
        <f t="shared" si="31"/>
        <v>149748.67927936013</v>
      </c>
    </row>
    <row r="201" spans="80:90">
      <c r="CB201" s="63">
        <v>10</v>
      </c>
      <c r="CC201" s="63">
        <f>data!$K31</f>
        <v>29</v>
      </c>
      <c r="CD201" s="63">
        <f>data!$L31</f>
        <v>356</v>
      </c>
      <c r="CE201" s="70">
        <f t="shared" si="24"/>
        <v>1661.5384615384614</v>
      </c>
      <c r="CF201" s="71">
        <f t="shared" si="25"/>
        <v>0.80573485010810919</v>
      </c>
      <c r="CG201" s="71">
        <f t="shared" si="26"/>
        <v>0.28049944484484873</v>
      </c>
      <c r="CH201" s="72">
        <f t="shared" si="27"/>
        <v>5923.5</v>
      </c>
      <c r="CI201" s="70">
        <f t="shared" si="28"/>
        <v>591507.69230769225</v>
      </c>
      <c r="CJ201" s="72">
        <f t="shared" si="29"/>
        <v>1389.28</v>
      </c>
      <c r="CK201" s="45">
        <f t="shared" si="30"/>
        <v>4.2637193366348036</v>
      </c>
      <c r="CL201" s="70">
        <f t="shared" si="31"/>
        <v>172178.78518064372</v>
      </c>
    </row>
    <row r="202" spans="80:90">
      <c r="CB202" s="63">
        <v>11</v>
      </c>
      <c r="CC202" s="63">
        <f>data!$K32</f>
        <v>30</v>
      </c>
      <c r="CD202" s="63">
        <f>data!$L32</f>
        <v>355</v>
      </c>
      <c r="CE202" s="70">
        <f t="shared" si="24"/>
        <v>1846.1538461538462</v>
      </c>
      <c r="CF202" s="71">
        <f t="shared" si="25"/>
        <v>0.81516463958907182</v>
      </c>
      <c r="CG202" s="71">
        <f t="shared" si="26"/>
        <v>0.31542459107063647</v>
      </c>
      <c r="CH202" s="72">
        <f t="shared" si="27"/>
        <v>5852.916666666667</v>
      </c>
      <c r="CI202" s="70">
        <f t="shared" si="28"/>
        <v>655384.61538461538</v>
      </c>
      <c r="CJ202" s="72">
        <f t="shared" si="29"/>
        <v>1411.0666666666666</v>
      </c>
      <c r="CK202" s="45">
        <f t="shared" si="30"/>
        <v>4.1478668619484083</v>
      </c>
      <c r="CL202" s="70">
        <f t="shared" si="31"/>
        <v>193832.27898421063</v>
      </c>
    </row>
    <row r="203" spans="80:90">
      <c r="CB203" s="63">
        <v>12</v>
      </c>
      <c r="CC203" s="63">
        <f>data!$K33</f>
        <v>31</v>
      </c>
      <c r="CD203" s="63">
        <f>data!$L33</f>
        <v>351</v>
      </c>
      <c r="CE203" s="70">
        <f t="shared" si="24"/>
        <v>2030.7692307692307</v>
      </c>
      <c r="CF203" s="71">
        <f t="shared" si="25"/>
        <v>0.82482464270035605</v>
      </c>
      <c r="CG203" s="71">
        <f t="shared" si="26"/>
        <v>0.35120238037168922</v>
      </c>
      <c r="CH203" s="72">
        <f t="shared" si="27"/>
        <v>5782.333333333333</v>
      </c>
      <c r="CI203" s="70">
        <f t="shared" si="28"/>
        <v>712800</v>
      </c>
      <c r="CJ203" s="72">
        <f t="shared" si="29"/>
        <v>1432.8533333333332</v>
      </c>
      <c r="CK203" s="45">
        <f t="shared" si="30"/>
        <v>4.0355374823196604</v>
      </c>
      <c r="CL203" s="70">
        <f t="shared" si="31"/>
        <v>214143.39223630418</v>
      </c>
    </row>
    <row r="204" spans="80:90">
      <c r="CB204" s="63">
        <v>13</v>
      </c>
      <c r="CC204" s="63">
        <f>data!$K34</f>
        <v>32</v>
      </c>
      <c r="CD204" s="63">
        <f>data!$L34</f>
        <v>344</v>
      </c>
      <c r="CE204" s="70">
        <f t="shared" si="24"/>
        <v>2215.3846153846152</v>
      </c>
      <c r="CF204" s="71">
        <f t="shared" si="25"/>
        <v>0.83472339408304741</v>
      </c>
      <c r="CG204" s="71">
        <f t="shared" si="26"/>
        <v>0.38786442252980524</v>
      </c>
      <c r="CH204" s="72">
        <f t="shared" si="27"/>
        <v>5711.75</v>
      </c>
      <c r="CI204" s="70">
        <f t="shared" si="28"/>
        <v>762092.30769230763</v>
      </c>
      <c r="CJ204" s="72">
        <f t="shared" si="29"/>
        <v>1454.6399999999999</v>
      </c>
      <c r="CK204" s="45">
        <f t="shared" si="30"/>
        <v>3.9265728977616456</v>
      </c>
      <c r="CL204" s="70">
        <f t="shared" si="31"/>
        <v>232515.18887611557</v>
      </c>
    </row>
    <row r="205" spans="80:90">
      <c r="CB205" s="63">
        <v>14</v>
      </c>
      <c r="CC205" s="63">
        <f>data!$K35</f>
        <v>33</v>
      </c>
      <c r="CD205" s="63">
        <f>data!$L35</f>
        <v>332</v>
      </c>
      <c r="CE205" s="70">
        <f t="shared" si="24"/>
        <v>2400</v>
      </c>
      <c r="CF205" s="71">
        <f t="shared" si="25"/>
        <v>0.84486985552633909</v>
      </c>
      <c r="CG205" s="71">
        <f t="shared" si="26"/>
        <v>0.42544390935681153</v>
      </c>
      <c r="CH205" s="72">
        <f t="shared" si="27"/>
        <v>5641.166666666667</v>
      </c>
      <c r="CI205" s="70">
        <f t="shared" si="28"/>
        <v>796800</v>
      </c>
      <c r="CJ205" s="72">
        <f t="shared" si="29"/>
        <v>1476.4266666666667</v>
      </c>
      <c r="CK205" s="45">
        <f t="shared" si="30"/>
        <v>3.8208241520066468</v>
      </c>
      <c r="CL205" s="70">
        <f t="shared" si="31"/>
        <v>246832.56713890712</v>
      </c>
    </row>
    <row r="206" spans="80:90">
      <c r="CB206" s="63">
        <v>15</v>
      </c>
      <c r="CC206" s="63">
        <f>data!$K36</f>
        <v>34</v>
      </c>
      <c r="CD206" s="63">
        <f>data!$L36</f>
        <v>317</v>
      </c>
      <c r="CE206" s="70">
        <f t="shared" si="24"/>
        <v>2584.6153846153848</v>
      </c>
      <c r="CF206" s="71">
        <f t="shared" si="25"/>
        <v>0.8552734430289145</v>
      </c>
      <c r="CG206" s="71">
        <f t="shared" si="26"/>
        <v>0.46397571492190554</v>
      </c>
      <c r="CH206" s="72">
        <f t="shared" si="27"/>
        <v>5570.583333333333</v>
      </c>
      <c r="CI206" s="70">
        <f t="shared" si="28"/>
        <v>819323.07692307699</v>
      </c>
      <c r="CJ206" s="72">
        <f t="shared" si="29"/>
        <v>1498.2133333333334</v>
      </c>
      <c r="CK206" s="45">
        <f t="shared" si="30"/>
        <v>3.7181509531352899</v>
      </c>
      <c r="CL206" s="70">
        <f t="shared" si="31"/>
        <v>257645.86842861943</v>
      </c>
    </row>
    <row r="207" spans="80:90">
      <c r="CB207" s="63">
        <v>16</v>
      </c>
      <c r="CC207" s="63">
        <f>data!$K37</f>
        <v>35</v>
      </c>
      <c r="CD207" s="63">
        <f>data!$L37</f>
        <v>299</v>
      </c>
      <c r="CE207" s="70">
        <f t="shared" si="24"/>
        <v>2769.2307692307691</v>
      </c>
      <c r="CF207" s="71">
        <f t="shared" si="25"/>
        <v>0.86594405594405588</v>
      </c>
      <c r="CG207" s="71">
        <f t="shared" si="26"/>
        <v>0.50349650349650343</v>
      </c>
      <c r="CH207" s="72">
        <f t="shared" si="27"/>
        <v>5500</v>
      </c>
      <c r="CI207" s="70">
        <f t="shared" si="28"/>
        <v>828000</v>
      </c>
      <c r="CJ207" s="72">
        <f t="shared" si="29"/>
        <v>1520</v>
      </c>
      <c r="CK207" s="45">
        <f t="shared" si="30"/>
        <v>3.6184210526315788</v>
      </c>
      <c r="CL207" s="70">
        <f t="shared" si="31"/>
        <v>264253.89647096826</v>
      </c>
    </row>
    <row r="208" spans="80:90">
      <c r="CB208" s="63">
        <v>17</v>
      </c>
      <c r="CC208" s="63">
        <f>data!$K38</f>
        <v>36</v>
      </c>
      <c r="CD208" s="63">
        <f>data!$L38</f>
        <v>277</v>
      </c>
      <c r="CE208" s="70">
        <f t="shared" si="24"/>
        <v>2953.8461538461538</v>
      </c>
      <c r="CF208" s="71">
        <f t="shared" si="25"/>
        <v>0.87670439927965016</v>
      </c>
      <c r="CG208" s="71">
        <f t="shared" si="26"/>
        <v>0.54334962696166711</v>
      </c>
      <c r="CH208" s="72">
        <f t="shared" si="27"/>
        <v>5436.363636363636</v>
      </c>
      <c r="CI208" s="70">
        <f t="shared" si="28"/>
        <v>818215.38461538462</v>
      </c>
      <c r="CJ208" s="72">
        <f t="shared" si="29"/>
        <v>1550</v>
      </c>
      <c r="CK208" s="45">
        <f t="shared" si="30"/>
        <v>3.5073313782991202</v>
      </c>
      <c r="CL208" s="70">
        <f t="shared" si="31"/>
        <v>266095.57625999558</v>
      </c>
    </row>
    <row r="209" spans="80:90">
      <c r="CB209" s="63">
        <v>18</v>
      </c>
      <c r="CC209" s="63">
        <f>data!$K39</f>
        <v>37</v>
      </c>
      <c r="CD209" s="63">
        <f>data!$L39</f>
        <v>252</v>
      </c>
      <c r="CE209" s="70">
        <f t="shared" si="24"/>
        <v>3138.4615384615386</v>
      </c>
      <c r="CF209" s="71">
        <f t="shared" si="25"/>
        <v>0.88771964076532606</v>
      </c>
      <c r="CG209" s="71">
        <f t="shared" si="26"/>
        <v>0.58414681764935572</v>
      </c>
      <c r="CH209" s="72">
        <f t="shared" si="27"/>
        <v>5372.727272727273</v>
      </c>
      <c r="CI209" s="70">
        <f t="shared" si="28"/>
        <v>790892.30769230775</v>
      </c>
      <c r="CJ209" s="72">
        <f t="shared" si="29"/>
        <v>1580</v>
      </c>
      <c r="CK209" s="45">
        <f t="shared" si="30"/>
        <v>3.4004602991944766</v>
      </c>
      <c r="CL209" s="70">
        <f t="shared" si="31"/>
        <v>262001.5219160307</v>
      </c>
    </row>
    <row r="210" spans="80:90">
      <c r="CB210" s="63">
        <v>19</v>
      </c>
      <c r="CC210" s="63">
        <f>data!$K40</f>
        <v>38</v>
      </c>
      <c r="CD210" s="63">
        <f>data!$L40</f>
        <v>225</v>
      </c>
      <c r="CE210" s="70">
        <f t="shared" si="24"/>
        <v>3323.0769230769229</v>
      </c>
      <c r="CF210" s="71">
        <f t="shared" si="25"/>
        <v>0.89899894625922028</v>
      </c>
      <c r="CG210" s="71">
        <f t="shared" si="26"/>
        <v>0.62592202318229717</v>
      </c>
      <c r="CH210" s="72">
        <f t="shared" si="27"/>
        <v>5309.090909090909</v>
      </c>
      <c r="CI210" s="70">
        <f t="shared" si="28"/>
        <v>747692.30769230763</v>
      </c>
      <c r="CJ210" s="72">
        <f t="shared" si="29"/>
        <v>1610</v>
      </c>
      <c r="CK210" s="45">
        <f t="shared" si="30"/>
        <v>3.2975719932241669</v>
      </c>
      <c r="CL210" s="70">
        <f t="shared" si="31"/>
        <v>252214.14757076715</v>
      </c>
    </row>
    <row r="211" spans="80:90">
      <c r="CB211" s="63">
        <v>20</v>
      </c>
      <c r="CC211" s="63">
        <f>data!$K41</f>
        <v>39</v>
      </c>
      <c r="CD211" s="63">
        <f>data!$L41</f>
        <v>195</v>
      </c>
      <c r="CE211" s="70">
        <f t="shared" si="24"/>
        <v>3507.6923076923076</v>
      </c>
      <c r="CF211" s="71">
        <f t="shared" si="25"/>
        <v>0.91055192640981197</v>
      </c>
      <c r="CG211" s="71">
        <f t="shared" si="26"/>
        <v>0.66871083855485935</v>
      </c>
      <c r="CH211" s="72">
        <f t="shared" si="27"/>
        <v>5245.454545454545</v>
      </c>
      <c r="CI211" s="70">
        <f t="shared" si="28"/>
        <v>684000</v>
      </c>
      <c r="CJ211" s="72">
        <f t="shared" si="29"/>
        <v>1640</v>
      </c>
      <c r="CK211" s="45">
        <f t="shared" si="30"/>
        <v>3.1984478935698446</v>
      </c>
      <c r="CL211" s="70">
        <f t="shared" si="31"/>
        <v>234861.64815777336</v>
      </c>
    </row>
    <row r="212" spans="80:90">
      <c r="CB212" s="63">
        <v>21</v>
      </c>
      <c r="CC212" s="63">
        <f>data!$K42</f>
        <v>40</v>
      </c>
      <c r="CD212" s="63">
        <f>data!$L42</f>
        <v>165</v>
      </c>
      <c r="CE212" s="70">
        <f t="shared" si="24"/>
        <v>3692.3076923076924</v>
      </c>
      <c r="CF212" s="71">
        <f t="shared" si="25"/>
        <v>0.92238866396761132</v>
      </c>
      <c r="CG212" s="71">
        <f t="shared" si="26"/>
        <v>0.71255060728744934</v>
      </c>
      <c r="CH212" s="72">
        <f t="shared" si="27"/>
        <v>5181.818181818182</v>
      </c>
      <c r="CI212" s="70">
        <f t="shared" si="28"/>
        <v>609230.76923076925</v>
      </c>
      <c r="CJ212" s="72">
        <f t="shared" si="29"/>
        <v>1670</v>
      </c>
      <c r="CK212" s="45">
        <f t="shared" si="30"/>
        <v>3.1028851388132828</v>
      </c>
      <c r="CL212" s="70">
        <f t="shared" si="31"/>
        <v>212863.97752710353</v>
      </c>
    </row>
    <row r="213" spans="80:90">
      <c r="CB213" s="63">
        <v>22</v>
      </c>
      <c r="CC213" s="63">
        <f>data!$K43</f>
        <v>41</v>
      </c>
      <c r="CD213" s="63">
        <f>data!$L43</f>
        <v>133</v>
      </c>
      <c r="CE213" s="70">
        <f t="shared" si="24"/>
        <v>3876.9230769230771</v>
      </c>
      <c r="CF213" s="71">
        <f t="shared" si="25"/>
        <v>0.93451974313430797</v>
      </c>
      <c r="CG213" s="71">
        <f t="shared" si="26"/>
        <v>0.75748053012706662</v>
      </c>
      <c r="CH213" s="72">
        <f t="shared" si="27"/>
        <v>5118.181818181818</v>
      </c>
      <c r="CI213" s="70">
        <f t="shared" si="28"/>
        <v>515630.76923076925</v>
      </c>
      <c r="CJ213" s="72">
        <f t="shared" si="29"/>
        <v>1700</v>
      </c>
      <c r="CK213" s="45">
        <f t="shared" si="30"/>
        <v>3.0106951871657754</v>
      </c>
      <c r="CL213" s="70">
        <f t="shared" si="31"/>
        <v>183266.69834423775</v>
      </c>
    </row>
    <row r="214" spans="80:90">
      <c r="CB214" s="63">
        <v>23</v>
      </c>
      <c r="CC214" s="63">
        <f>data!$K44</f>
        <v>42</v>
      </c>
      <c r="CD214" s="63">
        <f>data!$L44</f>
        <v>103</v>
      </c>
      <c r="CE214" s="70">
        <f t="shared" si="24"/>
        <v>4061.5384615384614</v>
      </c>
      <c r="CF214" s="71">
        <f t="shared" si="25"/>
        <v>0.94695628112894292</v>
      </c>
      <c r="CG214" s="71">
        <f t="shared" si="26"/>
        <v>0.80354178195904802</v>
      </c>
      <c r="CH214" s="72">
        <f t="shared" si="27"/>
        <v>5054.545454545455</v>
      </c>
      <c r="CI214" s="70">
        <f t="shared" si="28"/>
        <v>418338.4615384615</v>
      </c>
      <c r="CJ214" s="72">
        <f t="shared" si="29"/>
        <v>1730</v>
      </c>
      <c r="CK214" s="45">
        <f t="shared" si="30"/>
        <v>2.921702574881766</v>
      </c>
      <c r="CL214" s="70">
        <f t="shared" si="31"/>
        <v>151203.50641381525</v>
      </c>
    </row>
    <row r="215" spans="80:90">
      <c r="CB215" s="63">
        <v>24</v>
      </c>
      <c r="CC215" s="63">
        <f>data!$K45</f>
        <v>43</v>
      </c>
      <c r="CD215" s="63">
        <f>data!$L45</f>
        <v>73</v>
      </c>
      <c r="CE215" s="70">
        <f t="shared" si="24"/>
        <v>4246.1538461538457</v>
      </c>
      <c r="CF215" s="71">
        <f t="shared" si="25"/>
        <v>0.95970996216897853</v>
      </c>
      <c r="CG215" s="71">
        <f t="shared" si="26"/>
        <v>0.8507776376628835</v>
      </c>
      <c r="CH215" s="72">
        <f t="shared" si="27"/>
        <v>4990.909090909091</v>
      </c>
      <c r="CI215" s="70">
        <f t="shared" si="28"/>
        <v>309969.23076923075</v>
      </c>
      <c r="CJ215" s="72">
        <f t="shared" si="29"/>
        <v>1760</v>
      </c>
      <c r="CK215" s="45">
        <f t="shared" si="30"/>
        <v>2.8357438016528924</v>
      </c>
      <c r="CL215" s="70">
        <f t="shared" si="31"/>
        <v>113896.81799268554</v>
      </c>
    </row>
    <row r="216" spans="80:90">
      <c r="CB216" s="63">
        <v>25</v>
      </c>
      <c r="CC216" s="63">
        <f>data!$K46</f>
        <v>44</v>
      </c>
      <c r="CD216" s="63">
        <f>data!$L46</f>
        <v>47</v>
      </c>
      <c r="CE216" s="70">
        <f t="shared" si="24"/>
        <v>4430.7692307692305</v>
      </c>
      <c r="CF216" s="71">
        <f t="shared" si="25"/>
        <v>0.97279307408458704</v>
      </c>
      <c r="CG216" s="71">
        <f t="shared" si="26"/>
        <v>0.89923360772069261</v>
      </c>
      <c r="CH216" s="72">
        <f t="shared" si="27"/>
        <v>4927.272727272727</v>
      </c>
      <c r="CI216" s="70">
        <f t="shared" si="28"/>
        <v>208246.15384615384</v>
      </c>
      <c r="CJ216" s="72">
        <f t="shared" si="29"/>
        <v>1790</v>
      </c>
      <c r="CK216" s="45">
        <f t="shared" si="30"/>
        <v>2.7526663280853225</v>
      </c>
      <c r="CL216" s="70">
        <f t="shared" si="31"/>
        <v>77768.361466524671</v>
      </c>
    </row>
    <row r="217" spans="80:90">
      <c r="CB217" s="63">
        <v>26</v>
      </c>
      <c r="CC217" s="63">
        <f>data!$K47</f>
        <v>45</v>
      </c>
      <c r="CD217" s="63">
        <f>data!$L47</f>
        <v>24</v>
      </c>
      <c r="CE217" s="70">
        <f t="shared" si="24"/>
        <v>4615.3846153846152</v>
      </c>
      <c r="CF217" s="71">
        <f t="shared" si="25"/>
        <v>0.98621854780733287</v>
      </c>
      <c r="CG217" s="71">
        <f t="shared" si="26"/>
        <v>0.94895758447160306</v>
      </c>
      <c r="CH217" s="72">
        <f t="shared" si="27"/>
        <v>4863.636363636364</v>
      </c>
      <c r="CI217" s="70">
        <f t="shared" si="28"/>
        <v>110769.23076923077</v>
      </c>
      <c r="CJ217" s="72">
        <f t="shared" si="29"/>
        <v>1820</v>
      </c>
      <c r="CK217" s="45">
        <f t="shared" si="30"/>
        <v>2.6723276723276723</v>
      </c>
      <c r="CL217" s="70">
        <f t="shared" si="31"/>
        <v>42029.697557277497</v>
      </c>
    </row>
    <row r="218" spans="80:90">
      <c r="CB218" s="63">
        <v>27</v>
      </c>
      <c r="CC218" s="63">
        <f>data!$K48</f>
        <v>46</v>
      </c>
      <c r="CD218" s="63">
        <f>data!$L48</f>
        <v>6</v>
      </c>
      <c r="CE218" s="70">
        <f t="shared" si="24"/>
        <v>4800</v>
      </c>
      <c r="CF218" s="71">
        <f t="shared" si="25"/>
        <v>1</v>
      </c>
      <c r="CG218" s="71">
        <f t="shared" si="26"/>
        <v>1</v>
      </c>
      <c r="CH218" s="72">
        <f t="shared" si="27"/>
        <v>4800</v>
      </c>
      <c r="CI218" s="70">
        <f t="shared" si="28"/>
        <v>28800</v>
      </c>
      <c r="CJ218" s="72">
        <f t="shared" si="29"/>
        <v>1850</v>
      </c>
      <c r="CK218" s="45">
        <f t="shared" si="30"/>
        <v>2.5945945945945947</v>
      </c>
      <c r="CL218" s="70">
        <f t="shared" si="31"/>
        <v>11100</v>
      </c>
    </row>
    <row r="219" spans="80:90">
      <c r="CB219" s="63">
        <v>28</v>
      </c>
      <c r="CC219" s="63">
        <f>data!$K49</f>
        <v>47</v>
      </c>
      <c r="CD219" s="63">
        <f>data!$L49</f>
        <v>0</v>
      </c>
      <c r="CE219" s="70">
        <f t="shared" si="24"/>
        <v>4984.6153846153848</v>
      </c>
      <c r="CF219" s="71">
        <f t="shared" si="25"/>
        <v>1</v>
      </c>
      <c r="CG219" s="71">
        <f t="shared" si="26"/>
        <v>1</v>
      </c>
      <c r="CH219" s="72">
        <f t="shared" si="27"/>
        <v>4736.363636363636</v>
      </c>
      <c r="CI219" s="70">
        <f t="shared" si="28"/>
        <v>0</v>
      </c>
      <c r="CJ219" s="72">
        <f t="shared" si="29"/>
        <v>1880</v>
      </c>
      <c r="CK219" s="45">
        <f t="shared" si="30"/>
        <v>2.5193423597678914</v>
      </c>
      <c r="CL219" s="70">
        <f t="shared" si="31"/>
        <v>0</v>
      </c>
    </row>
    <row r="220" spans="80:90">
      <c r="CB220" s="63">
        <v>29</v>
      </c>
      <c r="CC220" s="63">
        <f>data!$K50</f>
        <v>48</v>
      </c>
      <c r="CD220" s="63">
        <f>data!$L50</f>
        <v>0</v>
      </c>
      <c r="CE220" s="70">
        <f t="shared" si="24"/>
        <v>5169.2307692307695</v>
      </c>
      <c r="CF220" s="71">
        <f t="shared" si="25"/>
        <v>1</v>
      </c>
      <c r="CG220" s="71">
        <f t="shared" si="26"/>
        <v>1</v>
      </c>
      <c r="CH220" s="72">
        <f t="shared" si="27"/>
        <v>4672.727272727273</v>
      </c>
      <c r="CI220" s="70">
        <f t="shared" si="28"/>
        <v>0</v>
      </c>
      <c r="CJ220" s="72">
        <f t="shared" si="29"/>
        <v>1910</v>
      </c>
      <c r="CK220" s="45">
        <f t="shared" si="30"/>
        <v>2.4464540694907186</v>
      </c>
      <c r="CL220" s="70">
        <f t="shared" si="31"/>
        <v>0</v>
      </c>
    </row>
    <row r="221" spans="80:90">
      <c r="CB221" s="63">
        <v>30</v>
      </c>
      <c r="CC221" s="63">
        <f>data!$K51</f>
        <v>49</v>
      </c>
      <c r="CD221" s="63">
        <f>data!$L51</f>
        <v>0</v>
      </c>
      <c r="CE221" s="70">
        <f t="shared" si="24"/>
        <v>5353.8461538461543</v>
      </c>
      <c r="CF221" s="71">
        <f t="shared" si="25"/>
        <v>1</v>
      </c>
      <c r="CG221" s="71">
        <f t="shared" si="26"/>
        <v>1</v>
      </c>
      <c r="CH221" s="72">
        <f t="shared" si="27"/>
        <v>4609.090909090909</v>
      </c>
      <c r="CI221" s="70">
        <f t="shared" si="28"/>
        <v>0</v>
      </c>
      <c r="CJ221" s="72">
        <f t="shared" si="29"/>
        <v>1940</v>
      </c>
      <c r="CK221" s="45">
        <f t="shared" si="30"/>
        <v>2.3758200562324272</v>
      </c>
      <c r="CL221" s="70">
        <f t="shared" si="31"/>
        <v>0</v>
      </c>
    </row>
    <row r="222" spans="80:90">
      <c r="CB222" s="63">
        <v>31</v>
      </c>
      <c r="CC222" s="63">
        <f>data!$K52</f>
        <v>50</v>
      </c>
      <c r="CD222" s="63">
        <f>data!$L52</f>
        <v>0</v>
      </c>
      <c r="CE222" s="70">
        <f t="shared" si="24"/>
        <v>5538.4615384615381</v>
      </c>
      <c r="CF222" s="71">
        <f t="shared" si="25"/>
        <v>1</v>
      </c>
      <c r="CG222" s="71">
        <f t="shared" si="26"/>
        <v>1</v>
      </c>
      <c r="CH222" s="72">
        <f t="shared" si="27"/>
        <v>4545.454545454545</v>
      </c>
      <c r="CI222" s="70">
        <f t="shared" si="28"/>
        <v>0</v>
      </c>
      <c r="CJ222" s="72">
        <f t="shared" si="29"/>
        <v>1970</v>
      </c>
      <c r="CK222" s="45">
        <f t="shared" si="30"/>
        <v>2.3073373327180433</v>
      </c>
      <c r="CL222" s="70">
        <f t="shared" si="31"/>
        <v>0</v>
      </c>
    </row>
    <row r="223" spans="80:90">
      <c r="CB223" s="63"/>
      <c r="CC223" s="63"/>
      <c r="CD223" s="63">
        <f>SUM(CD192:CD222)</f>
        <v>6493</v>
      </c>
      <c r="CE223" s="63"/>
      <c r="CF223" s="63"/>
      <c r="CG223" s="63"/>
      <c r="CH223" s="63"/>
      <c r="CI223" s="62">
        <f>SUM(CI192:CI222)</f>
        <v>12655753.846153848</v>
      </c>
      <c r="CK223" s="44"/>
      <c r="CL223" s="77">
        <f>SUM(CL192:CL222)</f>
        <v>4009037.7480250229</v>
      </c>
    </row>
  </sheetData>
  <sheetProtection algorithmName="SHA-512" hashValue="1ra4btL6H917LiBAx2B9SGZB/hcrK7FULKnpibXcCQrmTHfwGUvwzbvD1/ofHyoCC7LX6+G4qDpV6H0xVcNePQ==" saltValue="ZZEFGALp+IqFiINoNhRqWQ==" spinCount="100000" sheet="1" objects="1" scenarios="1"/>
  <dataConsolidate/>
  <mergeCells count="144">
    <mergeCell ref="AQ30:BB30"/>
    <mergeCell ref="AR37:AV38"/>
    <mergeCell ref="AX37:BB38"/>
    <mergeCell ref="A2:BD2"/>
    <mergeCell ref="A1:BD1"/>
    <mergeCell ref="AQ13:BB13"/>
    <mergeCell ref="AQ9:BB9"/>
    <mergeCell ref="AQ11:BB11"/>
    <mergeCell ref="AR16:AV17"/>
    <mergeCell ref="AX16:BB17"/>
    <mergeCell ref="AQ32:BB32"/>
    <mergeCell ref="AR34:AV34"/>
    <mergeCell ref="AX34:BB34"/>
    <mergeCell ref="AQ28:BB28"/>
    <mergeCell ref="H38:K38"/>
    <mergeCell ref="H30:K30"/>
    <mergeCell ref="H31:K31"/>
    <mergeCell ref="L31:O31"/>
    <mergeCell ref="L30:O30"/>
    <mergeCell ref="L27:O27"/>
    <mergeCell ref="L26:O26"/>
    <mergeCell ref="H27:K27"/>
    <mergeCell ref="H26:K26"/>
    <mergeCell ref="Y29:AB29"/>
    <mergeCell ref="Y30:AB30"/>
    <mergeCell ref="AC30:AF30"/>
    <mergeCell ref="P26:Q26"/>
    <mergeCell ref="P27:Q27"/>
    <mergeCell ref="AK32:AP32"/>
    <mergeCell ref="AK34:AP34"/>
    <mergeCell ref="H39:K39"/>
    <mergeCell ref="H40:K40"/>
    <mergeCell ref="L40:O40"/>
    <mergeCell ref="L39:O39"/>
    <mergeCell ref="L38:O38"/>
    <mergeCell ref="L35:O35"/>
    <mergeCell ref="L34:O34"/>
    <mergeCell ref="H35:K35"/>
    <mergeCell ref="H34:K34"/>
    <mergeCell ref="AK26:AP26"/>
    <mergeCell ref="AK28:AP28"/>
    <mergeCell ref="AK30:AP30"/>
    <mergeCell ref="AC29:AF29"/>
    <mergeCell ref="P30:Q30"/>
    <mergeCell ref="AK37:AP37"/>
    <mergeCell ref="AK38:AP38"/>
    <mergeCell ref="U34:X34"/>
    <mergeCell ref="U30:X30"/>
    <mergeCell ref="D40:G40"/>
    <mergeCell ref="D39:G39"/>
    <mergeCell ref="D35:G35"/>
    <mergeCell ref="P35:Q35"/>
    <mergeCell ref="AC32:AF32"/>
    <mergeCell ref="D31:G31"/>
    <mergeCell ref="P31:Q31"/>
    <mergeCell ref="AC31:AF31"/>
    <mergeCell ref="Y34:AB34"/>
    <mergeCell ref="P39:Q39"/>
    <mergeCell ref="P40:Q40"/>
    <mergeCell ref="P38:Q38"/>
    <mergeCell ref="P34:Q34"/>
    <mergeCell ref="Y32:AB32"/>
    <mergeCell ref="Y31:AB31"/>
    <mergeCell ref="U32:X32"/>
    <mergeCell ref="U31:X31"/>
    <mergeCell ref="AC34:AF34"/>
    <mergeCell ref="AK13:AP13"/>
    <mergeCell ref="AK16:AP16"/>
    <mergeCell ref="AK17:AP17"/>
    <mergeCell ref="AC13:AF13"/>
    <mergeCell ref="AC15:AF15"/>
    <mergeCell ref="Y15:AB15"/>
    <mergeCell ref="Y13:AB13"/>
    <mergeCell ref="U15:X15"/>
    <mergeCell ref="U13:X13"/>
    <mergeCell ref="D9:G9"/>
    <mergeCell ref="P9:Q9"/>
    <mergeCell ref="L8:O8"/>
    <mergeCell ref="L9:O9"/>
    <mergeCell ref="H9:K9"/>
    <mergeCell ref="H8:K8"/>
    <mergeCell ref="H12:K12"/>
    <mergeCell ref="D27:G27"/>
    <mergeCell ref="D18:G18"/>
    <mergeCell ref="D17:G17"/>
    <mergeCell ref="D13:G13"/>
    <mergeCell ref="P13:Q13"/>
    <mergeCell ref="L13:O13"/>
    <mergeCell ref="L16:O16"/>
    <mergeCell ref="L17:O17"/>
    <mergeCell ref="L18:O18"/>
    <mergeCell ref="H18:K18"/>
    <mergeCell ref="H17:K17"/>
    <mergeCell ref="H16:K16"/>
    <mergeCell ref="H13:K13"/>
    <mergeCell ref="P16:Q16"/>
    <mergeCell ref="P17:Q17"/>
    <mergeCell ref="P18:Q18"/>
    <mergeCell ref="AK7:AP7"/>
    <mergeCell ref="AK9:AP9"/>
    <mergeCell ref="Y10:AB10"/>
    <mergeCell ref="Y11:AB11"/>
    <mergeCell ref="P12:Q12"/>
    <mergeCell ref="Y12:AB12"/>
    <mergeCell ref="L12:O12"/>
    <mergeCell ref="AK11:AP11"/>
    <mergeCell ref="AC10:AF10"/>
    <mergeCell ref="AC11:AF11"/>
    <mergeCell ref="AC12:AF12"/>
    <mergeCell ref="P8:Q8"/>
    <mergeCell ref="U12:X12"/>
    <mergeCell ref="U11:X11"/>
    <mergeCell ref="CK9:CL9"/>
    <mergeCell ref="CL16:CL17"/>
    <mergeCell ref="CI16:CI17"/>
    <mergeCell ref="CD15:CD16"/>
    <mergeCell ref="CB15:CB16"/>
    <mergeCell ref="CC15:CC16"/>
    <mergeCell ref="CF16:CF17"/>
    <mergeCell ref="CG16:CG17"/>
    <mergeCell ref="CK68:CL68"/>
    <mergeCell ref="CK178:CL178"/>
    <mergeCell ref="CB189:CB190"/>
    <mergeCell ref="CC189:CC190"/>
    <mergeCell ref="CD189:CD190"/>
    <mergeCell ref="CF190:CF191"/>
    <mergeCell ref="CG190:CG191"/>
    <mergeCell ref="CI190:CI191"/>
    <mergeCell ref="CL190:CL191"/>
    <mergeCell ref="CB74:CB75"/>
    <mergeCell ref="CC74:CC75"/>
    <mergeCell ref="CD74:CD75"/>
    <mergeCell ref="CF75:CF76"/>
    <mergeCell ref="CG75:CG76"/>
    <mergeCell ref="CI75:CI76"/>
    <mergeCell ref="CL75:CL76"/>
    <mergeCell ref="CB129:CB130"/>
    <mergeCell ref="CK118:CL118"/>
    <mergeCell ref="CL130:CL131"/>
    <mergeCell ref="CI130:CI131"/>
    <mergeCell ref="CC129:CC130"/>
    <mergeCell ref="CD129:CD130"/>
    <mergeCell ref="CF130:CF131"/>
    <mergeCell ref="CG130:CG131"/>
  </mergeCells>
  <phoneticPr fontId="3"/>
  <conditionalFormatting sqref="AQ16:BB17 H17:Q18">
    <cfRule type="expression" dxfId="18" priority="19">
      <formula>$BD$7="Required test"</formula>
    </cfRule>
  </conditionalFormatting>
  <conditionalFormatting sqref="H17:Q18">
    <cfRule type="expression" dxfId="17" priority="14">
      <formula>$BC$16=1</formula>
    </cfRule>
    <cfRule type="expression" dxfId="16" priority="18">
      <formula>$BD$16="Default"</formula>
    </cfRule>
  </conditionalFormatting>
  <conditionalFormatting sqref="H35:Q35 H39:Q40 AQ34:BB34 AQ37:BB38">
    <cfRule type="expression" dxfId="15" priority="17">
      <formula>$BD$26="Required test"</formula>
    </cfRule>
  </conditionalFormatting>
  <conditionalFormatting sqref="H35:Q35">
    <cfRule type="expression" dxfId="14" priority="13">
      <formula>$BC$34=1</formula>
    </cfRule>
    <cfRule type="expression" dxfId="13" priority="16">
      <formula>$BD$34="Default"</formula>
    </cfRule>
  </conditionalFormatting>
  <conditionalFormatting sqref="H39:Q40">
    <cfRule type="expression" dxfId="12" priority="12">
      <formula>$BC$37=1</formula>
    </cfRule>
    <cfRule type="expression" dxfId="11" priority="15">
      <formula>$BD$37="Default"</formula>
    </cfRule>
  </conditionalFormatting>
  <conditionalFormatting sqref="CC70:CC72">
    <cfRule type="expression" dxfId="10" priority="9">
      <formula>#REF!="Default"</formula>
    </cfRule>
  </conditionalFormatting>
  <conditionalFormatting sqref="CH64 CK65:CL68">
    <cfRule type="expression" dxfId="9" priority="10">
      <formula>#REF!="Required test"</formula>
    </cfRule>
    <cfRule type="expression" dxfId="8" priority="11">
      <formula>#REF!="Default"</formula>
    </cfRule>
  </conditionalFormatting>
  <conditionalFormatting sqref="CH114 CK115:CL118">
    <cfRule type="expression" dxfId="7" priority="5">
      <formula>#REF!="Required test"</formula>
    </cfRule>
    <cfRule type="expression" dxfId="6" priority="6">
      <formula>$AQ$37="Default"</formula>
    </cfRule>
  </conditionalFormatting>
  <conditionalFormatting sqref="CC125:CC127">
    <cfRule type="expression" dxfId="5" priority="7">
      <formula>#REF!="Required test"</formula>
    </cfRule>
    <cfRule type="expression" dxfId="4" priority="8">
      <formula>#REF!="Default"</formula>
    </cfRule>
  </conditionalFormatting>
  <conditionalFormatting sqref="CH174 CK175:CL178">
    <cfRule type="expression" dxfId="3" priority="1">
      <formula>#REF!="Required test"</formula>
    </cfRule>
    <cfRule type="expression" dxfId="2" priority="2">
      <formula>$AQ$37="Default"</formula>
    </cfRule>
  </conditionalFormatting>
  <conditionalFormatting sqref="CC185:CC187">
    <cfRule type="expression" dxfId="1" priority="3">
      <formula>#REF!="Required test"</formula>
    </cfRule>
    <cfRule type="expression" dxfId="0" priority="4">
      <formula>#REF!="Default"</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Option Button 19">
              <controlPr defaultSize="0" autoFill="0" autoLine="0" autoPict="0" macro="[0]!_xludf.Fixed">
                <anchor moveWithCells="1">
                  <from>
                    <xdr:col>42</xdr:col>
                    <xdr:colOff>9525</xdr:colOff>
                    <xdr:row>5</xdr:row>
                    <xdr:rowOff>95250</xdr:rowOff>
                  </from>
                  <to>
                    <xdr:col>46</xdr:col>
                    <xdr:colOff>0</xdr:colOff>
                    <xdr:row>7</xdr:row>
                    <xdr:rowOff>28575</xdr:rowOff>
                  </to>
                </anchor>
              </controlPr>
            </control>
          </mc:Choice>
        </mc:AlternateContent>
        <mc:AlternateContent xmlns:mc="http://schemas.openxmlformats.org/markup-compatibility/2006">
          <mc:Choice Requires="x14">
            <control shapeId="4116" r:id="rId5" name="Option Button 20">
              <controlPr defaultSize="0" autoFill="0" autoLine="0" autoPict="0" macro="[0]!_xludf.Fixed">
                <anchor moveWithCells="1">
                  <from>
                    <xdr:col>48</xdr:col>
                    <xdr:colOff>9525</xdr:colOff>
                    <xdr:row>5</xdr:row>
                    <xdr:rowOff>95250</xdr:rowOff>
                  </from>
                  <to>
                    <xdr:col>52</xdr:col>
                    <xdr:colOff>0</xdr:colOff>
                    <xdr:row>7</xdr:row>
                    <xdr:rowOff>28575</xdr:rowOff>
                  </to>
                </anchor>
              </controlPr>
            </control>
          </mc:Choice>
        </mc:AlternateContent>
        <mc:AlternateContent xmlns:mc="http://schemas.openxmlformats.org/markup-compatibility/2006">
          <mc:Choice Requires="x14">
            <control shapeId="4117" r:id="rId6" name="Group Box 21">
              <controlPr defaultSize="0" autoFill="0" autoPict="0">
                <anchor moveWithCells="1">
                  <from>
                    <xdr:col>41</xdr:col>
                    <xdr:colOff>114300</xdr:colOff>
                    <xdr:row>5</xdr:row>
                    <xdr:rowOff>28575</xdr:rowOff>
                  </from>
                  <to>
                    <xdr:col>54</xdr:col>
                    <xdr:colOff>114300</xdr:colOff>
                    <xdr:row>7</xdr:row>
                    <xdr:rowOff>76200</xdr:rowOff>
                  </to>
                </anchor>
              </controlPr>
            </control>
          </mc:Choice>
        </mc:AlternateContent>
        <mc:AlternateContent xmlns:mc="http://schemas.openxmlformats.org/markup-compatibility/2006">
          <mc:Choice Requires="x14">
            <control shapeId="4118" r:id="rId7" name="Option Button 22">
              <controlPr defaultSize="0" autoFill="0" autoLine="0" autoPict="0">
                <anchor moveWithCells="1">
                  <from>
                    <xdr:col>42</xdr:col>
                    <xdr:colOff>9525</xdr:colOff>
                    <xdr:row>15</xdr:row>
                    <xdr:rowOff>9525</xdr:rowOff>
                  </from>
                  <to>
                    <xdr:col>46</xdr:col>
                    <xdr:colOff>0</xdr:colOff>
                    <xdr:row>16</xdr:row>
                    <xdr:rowOff>95250</xdr:rowOff>
                  </to>
                </anchor>
              </controlPr>
            </control>
          </mc:Choice>
        </mc:AlternateContent>
        <mc:AlternateContent xmlns:mc="http://schemas.openxmlformats.org/markup-compatibility/2006">
          <mc:Choice Requires="x14">
            <control shapeId="4119" r:id="rId8" name="Option Button 23">
              <controlPr defaultSize="0" autoFill="0" autoLine="0" autoPict="0">
                <anchor moveWithCells="1">
                  <from>
                    <xdr:col>48</xdr:col>
                    <xdr:colOff>9525</xdr:colOff>
                    <xdr:row>15</xdr:row>
                    <xdr:rowOff>9525</xdr:rowOff>
                  </from>
                  <to>
                    <xdr:col>52</xdr:col>
                    <xdr:colOff>0</xdr:colOff>
                    <xdr:row>16</xdr:row>
                    <xdr:rowOff>95250</xdr:rowOff>
                  </to>
                </anchor>
              </controlPr>
            </control>
          </mc:Choice>
        </mc:AlternateContent>
        <mc:AlternateContent xmlns:mc="http://schemas.openxmlformats.org/markup-compatibility/2006">
          <mc:Choice Requires="x14">
            <control shapeId="4120" r:id="rId9" name="Group Box 24">
              <controlPr defaultSize="0" autoFill="0" autoPict="0">
                <anchor moveWithCells="1">
                  <from>
                    <xdr:col>41</xdr:col>
                    <xdr:colOff>133350</xdr:colOff>
                    <xdr:row>14</xdr:row>
                    <xdr:rowOff>95250</xdr:rowOff>
                  </from>
                  <to>
                    <xdr:col>54</xdr:col>
                    <xdr:colOff>161925</xdr:colOff>
                    <xdr:row>17</xdr:row>
                    <xdr:rowOff>66675</xdr:rowOff>
                  </to>
                </anchor>
              </controlPr>
            </control>
          </mc:Choice>
        </mc:AlternateContent>
        <mc:AlternateContent xmlns:mc="http://schemas.openxmlformats.org/markup-compatibility/2006">
          <mc:Choice Requires="x14">
            <control shapeId="4121" r:id="rId10" name="Option Button 25">
              <controlPr defaultSize="0" autoFill="0" autoLine="0" autoPict="0" macro="[0]!_xludf.Fixed">
                <anchor moveWithCells="1">
                  <from>
                    <xdr:col>42</xdr:col>
                    <xdr:colOff>9525</xdr:colOff>
                    <xdr:row>24</xdr:row>
                    <xdr:rowOff>95250</xdr:rowOff>
                  </from>
                  <to>
                    <xdr:col>46</xdr:col>
                    <xdr:colOff>0</xdr:colOff>
                    <xdr:row>26</xdr:row>
                    <xdr:rowOff>28575</xdr:rowOff>
                  </to>
                </anchor>
              </controlPr>
            </control>
          </mc:Choice>
        </mc:AlternateContent>
        <mc:AlternateContent xmlns:mc="http://schemas.openxmlformats.org/markup-compatibility/2006">
          <mc:Choice Requires="x14">
            <control shapeId="4122" r:id="rId11" name="Option Button 26">
              <controlPr defaultSize="0" autoFill="0" autoLine="0" autoPict="0" macro="[0]!_xludf.Fixed">
                <anchor moveWithCells="1">
                  <from>
                    <xdr:col>48</xdr:col>
                    <xdr:colOff>9525</xdr:colOff>
                    <xdr:row>24</xdr:row>
                    <xdr:rowOff>95250</xdr:rowOff>
                  </from>
                  <to>
                    <xdr:col>52</xdr:col>
                    <xdr:colOff>0</xdr:colOff>
                    <xdr:row>26</xdr:row>
                    <xdr:rowOff>28575</xdr:rowOff>
                  </to>
                </anchor>
              </controlPr>
            </control>
          </mc:Choice>
        </mc:AlternateContent>
        <mc:AlternateContent xmlns:mc="http://schemas.openxmlformats.org/markup-compatibility/2006">
          <mc:Choice Requires="x14">
            <control shapeId="4123" r:id="rId12" name="Group Box 27">
              <controlPr defaultSize="0" autoFill="0" autoPict="0">
                <anchor moveWithCells="1">
                  <from>
                    <xdr:col>41</xdr:col>
                    <xdr:colOff>66675</xdr:colOff>
                    <xdr:row>24</xdr:row>
                    <xdr:rowOff>66675</xdr:rowOff>
                  </from>
                  <to>
                    <xdr:col>54</xdr:col>
                    <xdr:colOff>190500</xdr:colOff>
                    <xdr:row>26</xdr:row>
                    <xdr:rowOff>66675</xdr:rowOff>
                  </to>
                </anchor>
              </controlPr>
            </control>
          </mc:Choice>
        </mc:AlternateContent>
        <mc:AlternateContent xmlns:mc="http://schemas.openxmlformats.org/markup-compatibility/2006">
          <mc:Choice Requires="x14">
            <control shapeId="4124" r:id="rId13" name="Option Button 28">
              <controlPr defaultSize="0" autoFill="0" autoLine="0" autoPict="0">
                <anchor moveWithCells="1">
                  <from>
                    <xdr:col>42</xdr:col>
                    <xdr:colOff>9525</xdr:colOff>
                    <xdr:row>32</xdr:row>
                    <xdr:rowOff>95250</xdr:rowOff>
                  </from>
                  <to>
                    <xdr:col>46</xdr:col>
                    <xdr:colOff>0</xdr:colOff>
                    <xdr:row>34</xdr:row>
                    <xdr:rowOff>28575</xdr:rowOff>
                  </to>
                </anchor>
              </controlPr>
            </control>
          </mc:Choice>
        </mc:AlternateContent>
        <mc:AlternateContent xmlns:mc="http://schemas.openxmlformats.org/markup-compatibility/2006">
          <mc:Choice Requires="x14">
            <control shapeId="4125" r:id="rId14" name="Option Button 29">
              <controlPr defaultSize="0" autoFill="0" autoLine="0" autoPict="0">
                <anchor moveWithCells="1">
                  <from>
                    <xdr:col>48</xdr:col>
                    <xdr:colOff>9525</xdr:colOff>
                    <xdr:row>32</xdr:row>
                    <xdr:rowOff>95250</xdr:rowOff>
                  </from>
                  <to>
                    <xdr:col>52</xdr:col>
                    <xdr:colOff>0</xdr:colOff>
                    <xdr:row>34</xdr:row>
                    <xdr:rowOff>28575</xdr:rowOff>
                  </to>
                </anchor>
              </controlPr>
            </control>
          </mc:Choice>
        </mc:AlternateContent>
        <mc:AlternateContent xmlns:mc="http://schemas.openxmlformats.org/markup-compatibility/2006">
          <mc:Choice Requires="x14">
            <control shapeId="4126" r:id="rId15" name="Group Box 30">
              <controlPr defaultSize="0" autoFill="0" autoPict="0">
                <anchor moveWithCells="1">
                  <from>
                    <xdr:col>41</xdr:col>
                    <xdr:colOff>133350</xdr:colOff>
                    <xdr:row>32</xdr:row>
                    <xdr:rowOff>57150</xdr:rowOff>
                  </from>
                  <to>
                    <xdr:col>55</xdr:col>
                    <xdr:colOff>66675</xdr:colOff>
                    <xdr:row>34</xdr:row>
                    <xdr:rowOff>95250</xdr:rowOff>
                  </to>
                </anchor>
              </controlPr>
            </control>
          </mc:Choice>
        </mc:AlternateContent>
        <mc:AlternateContent xmlns:mc="http://schemas.openxmlformats.org/markup-compatibility/2006">
          <mc:Choice Requires="x14">
            <control shapeId="4128" r:id="rId16" name="Option Button 32">
              <controlPr defaultSize="0" autoFill="0" autoLine="0" autoPict="0">
                <anchor moveWithCells="1">
                  <from>
                    <xdr:col>42</xdr:col>
                    <xdr:colOff>9525</xdr:colOff>
                    <xdr:row>36</xdr:row>
                    <xdr:rowOff>9525</xdr:rowOff>
                  </from>
                  <to>
                    <xdr:col>46</xdr:col>
                    <xdr:colOff>0</xdr:colOff>
                    <xdr:row>37</xdr:row>
                    <xdr:rowOff>95250</xdr:rowOff>
                  </to>
                </anchor>
              </controlPr>
            </control>
          </mc:Choice>
        </mc:AlternateContent>
        <mc:AlternateContent xmlns:mc="http://schemas.openxmlformats.org/markup-compatibility/2006">
          <mc:Choice Requires="x14">
            <control shapeId="4129" r:id="rId17" name="Option Button 33">
              <controlPr defaultSize="0" autoFill="0" autoLine="0" autoPict="0">
                <anchor moveWithCells="1">
                  <from>
                    <xdr:col>48</xdr:col>
                    <xdr:colOff>9525</xdr:colOff>
                    <xdr:row>36</xdr:row>
                    <xdr:rowOff>9525</xdr:rowOff>
                  </from>
                  <to>
                    <xdr:col>52</xdr:col>
                    <xdr:colOff>0</xdr:colOff>
                    <xdr:row>37</xdr:row>
                    <xdr:rowOff>95250</xdr:rowOff>
                  </to>
                </anchor>
              </controlPr>
            </control>
          </mc:Choice>
        </mc:AlternateContent>
        <mc:AlternateContent xmlns:mc="http://schemas.openxmlformats.org/markup-compatibility/2006">
          <mc:Choice Requires="x14">
            <control shapeId="4130" r:id="rId18" name="Group Box 34">
              <controlPr defaultSize="0" autoFill="0" autoPict="0">
                <anchor moveWithCells="1">
                  <from>
                    <xdr:col>41</xdr:col>
                    <xdr:colOff>123825</xdr:colOff>
                    <xdr:row>35</xdr:row>
                    <xdr:rowOff>66675</xdr:rowOff>
                  </from>
                  <to>
                    <xdr:col>54</xdr:col>
                    <xdr:colOff>123825</xdr:colOff>
                    <xdr:row>38</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C4:L53"/>
  <sheetViews>
    <sheetView zoomScale="115" zoomScaleNormal="115" workbookViewId="0">
      <selection activeCell="F12" sqref="F12:G12"/>
    </sheetView>
  </sheetViews>
  <sheetFormatPr defaultColWidth="9" defaultRowHeight="14.25"/>
  <cols>
    <col min="1" max="2" width="3.75" style="1" customWidth="1"/>
    <col min="3" max="3" width="13" style="1" customWidth="1"/>
    <col min="4" max="7" width="10.625" style="1" customWidth="1"/>
    <col min="8" max="8" width="1.375" style="1" customWidth="1"/>
    <col min="9" max="12" width="10.625" style="1" customWidth="1"/>
    <col min="13" max="16384" width="9" style="1"/>
  </cols>
  <sheetData>
    <row r="4" spans="3:12" ht="20.25">
      <c r="C4" s="2" t="s">
        <v>32</v>
      </c>
    </row>
    <row r="7" spans="3:12" ht="15">
      <c r="C7" s="3" t="s">
        <v>24</v>
      </c>
      <c r="D7" s="171" t="s">
        <v>23</v>
      </c>
      <c r="E7" s="171"/>
      <c r="F7" s="164" t="s">
        <v>46</v>
      </c>
      <c r="G7" s="165"/>
      <c r="H7" s="4"/>
      <c r="I7" s="171" t="s">
        <v>23</v>
      </c>
      <c r="J7" s="171"/>
      <c r="K7" s="169" t="s">
        <v>46</v>
      </c>
      <c r="L7" s="169"/>
    </row>
    <row r="8" spans="3:12" ht="15">
      <c r="C8" s="3" t="s">
        <v>21</v>
      </c>
      <c r="D8" s="171" t="s">
        <v>29</v>
      </c>
      <c r="E8" s="171"/>
      <c r="F8" s="164"/>
      <c r="G8" s="165"/>
      <c r="H8" s="4"/>
      <c r="I8" s="171" t="s">
        <v>29</v>
      </c>
      <c r="J8" s="171"/>
      <c r="K8" s="168"/>
      <c r="L8" s="168"/>
    </row>
    <row r="9" spans="3:12" ht="15">
      <c r="C9" s="3" t="s">
        <v>22</v>
      </c>
      <c r="D9" s="170">
        <v>2013</v>
      </c>
      <c r="E9" s="170"/>
      <c r="F9" s="164"/>
      <c r="G9" s="165"/>
      <c r="I9" s="172" t="s">
        <v>42</v>
      </c>
      <c r="J9" s="172"/>
      <c r="K9" s="168"/>
      <c r="L9" s="168"/>
    </row>
    <row r="10" spans="3:12" ht="3" customHeight="1"/>
    <row r="11" spans="3:12" ht="18.75">
      <c r="C11" s="20" t="s">
        <v>33</v>
      </c>
      <c r="D11" s="170">
        <v>20</v>
      </c>
      <c r="E11" s="170"/>
      <c r="F11" s="164">
        <v>20</v>
      </c>
      <c r="G11" s="165"/>
      <c r="I11" s="170">
        <v>20</v>
      </c>
      <c r="J11" s="170"/>
      <c r="K11" s="168">
        <v>20</v>
      </c>
      <c r="L11" s="168"/>
    </row>
    <row r="12" spans="3:12" ht="18.75">
      <c r="C12" s="20" t="s">
        <v>34</v>
      </c>
      <c r="D12" s="170">
        <v>35</v>
      </c>
      <c r="E12" s="170"/>
      <c r="F12" s="164">
        <v>35</v>
      </c>
      <c r="G12" s="165"/>
      <c r="I12" s="170">
        <v>46</v>
      </c>
      <c r="J12" s="170"/>
      <c r="K12" s="168">
        <v>46</v>
      </c>
      <c r="L12" s="168"/>
    </row>
    <row r="13" spans="3:12" s="5" customFormat="1" ht="3" customHeight="1"/>
    <row r="14" spans="3:12" s="5" customFormat="1" ht="16.5" customHeight="1">
      <c r="C14" s="6" t="s">
        <v>30</v>
      </c>
      <c r="D14" s="170">
        <v>0.25</v>
      </c>
      <c r="E14" s="170"/>
      <c r="F14" s="164">
        <v>0.25</v>
      </c>
      <c r="G14" s="165"/>
      <c r="I14" s="170">
        <v>0.27</v>
      </c>
      <c r="J14" s="170"/>
      <c r="K14" s="168">
        <v>0.27</v>
      </c>
      <c r="L14" s="168"/>
    </row>
    <row r="15" spans="3:12" s="5" customFormat="1" ht="16.5" customHeight="1">
      <c r="C15" s="6" t="s">
        <v>35</v>
      </c>
      <c r="D15" s="170">
        <v>1.077</v>
      </c>
      <c r="E15" s="170"/>
      <c r="F15" s="164">
        <v>1.077</v>
      </c>
      <c r="G15" s="165"/>
      <c r="I15" s="170">
        <v>1.077</v>
      </c>
      <c r="J15" s="170"/>
      <c r="K15" s="168">
        <v>1.077</v>
      </c>
      <c r="L15" s="168"/>
    </row>
    <row r="16" spans="3:12" s="5" customFormat="1" ht="16.5" customHeight="1">
      <c r="C16" s="6" t="s">
        <v>36</v>
      </c>
      <c r="D16" s="170">
        <v>0.91400000000000003</v>
      </c>
      <c r="E16" s="170"/>
      <c r="F16" s="164">
        <v>0.91400000000000003</v>
      </c>
      <c r="G16" s="165"/>
      <c r="I16" s="170">
        <v>0.91400000000000003</v>
      </c>
      <c r="J16" s="170"/>
      <c r="K16" s="168">
        <v>0.91400000000000003</v>
      </c>
      <c r="L16" s="168"/>
    </row>
    <row r="17" spans="3:12" s="5" customFormat="1" ht="16.5" customHeight="1">
      <c r="C17" s="6" t="s">
        <v>38</v>
      </c>
      <c r="D17" s="166" t="s">
        <v>31</v>
      </c>
      <c r="E17" s="167"/>
      <c r="F17" s="166" t="s">
        <v>31</v>
      </c>
      <c r="G17" s="167"/>
      <c r="I17" s="170">
        <v>0.85899999999999999</v>
      </c>
      <c r="J17" s="170"/>
      <c r="K17" s="168">
        <v>0.85899999999999999</v>
      </c>
      <c r="L17" s="168"/>
    </row>
    <row r="18" spans="3:12" s="5" customFormat="1" ht="16.5" customHeight="1">
      <c r="C18" s="6" t="s">
        <v>39</v>
      </c>
      <c r="D18" s="166" t="s">
        <v>31</v>
      </c>
      <c r="E18" s="167"/>
      <c r="F18" s="166" t="s">
        <v>31</v>
      </c>
      <c r="G18" s="167"/>
      <c r="I18" s="170">
        <v>1.25</v>
      </c>
      <c r="J18" s="170"/>
      <c r="K18" s="168">
        <v>1.25</v>
      </c>
      <c r="L18" s="168"/>
    </row>
    <row r="19" spans="3:12" s="5" customFormat="1" ht="3" customHeight="1"/>
    <row r="20" spans="3:12" ht="24">
      <c r="C20" s="7" t="s">
        <v>5</v>
      </c>
      <c r="D20" s="7" t="s">
        <v>25</v>
      </c>
      <c r="E20" s="8" t="s">
        <v>27</v>
      </c>
      <c r="F20" s="7" t="s">
        <v>25</v>
      </c>
      <c r="G20" s="8" t="s">
        <v>8</v>
      </c>
      <c r="I20" s="7" t="s">
        <v>25</v>
      </c>
      <c r="J20" s="8" t="s">
        <v>8</v>
      </c>
      <c r="K20" s="7" t="s">
        <v>25</v>
      </c>
      <c r="L20" s="8" t="s">
        <v>8</v>
      </c>
    </row>
    <row r="21" spans="3:12">
      <c r="C21" s="19" t="s">
        <v>26</v>
      </c>
      <c r="D21" s="9" t="s">
        <v>37</v>
      </c>
      <c r="E21" s="9" t="s">
        <v>28</v>
      </c>
      <c r="F21" s="9" t="s">
        <v>37</v>
      </c>
      <c r="G21" s="9" t="s">
        <v>28</v>
      </c>
      <c r="I21" s="9" t="s">
        <v>37</v>
      </c>
      <c r="J21" s="9" t="s">
        <v>28</v>
      </c>
      <c r="K21" s="9" t="s">
        <v>37</v>
      </c>
      <c r="L21" s="9" t="s">
        <v>28</v>
      </c>
    </row>
    <row r="22" spans="3:12">
      <c r="C22" s="13">
        <v>1</v>
      </c>
      <c r="D22" s="16">
        <v>15</v>
      </c>
      <c r="E22" s="10">
        <v>0</v>
      </c>
      <c r="F22" s="21">
        <v>15</v>
      </c>
      <c r="G22" s="22">
        <v>0</v>
      </c>
      <c r="I22" s="16">
        <v>20</v>
      </c>
      <c r="J22" s="10">
        <v>0</v>
      </c>
      <c r="K22" s="21">
        <v>20</v>
      </c>
      <c r="L22" s="22">
        <v>0</v>
      </c>
    </row>
    <row r="23" spans="3:12">
      <c r="C23" s="14">
        <v>2</v>
      </c>
      <c r="D23" s="17">
        <v>16</v>
      </c>
      <c r="E23" s="11">
        <v>0</v>
      </c>
      <c r="F23" s="23">
        <v>16</v>
      </c>
      <c r="G23" s="24">
        <v>0</v>
      </c>
      <c r="I23" s="17">
        <v>21</v>
      </c>
      <c r="J23" s="11">
        <v>307</v>
      </c>
      <c r="K23" s="23">
        <v>21</v>
      </c>
      <c r="L23" s="24">
        <v>307</v>
      </c>
    </row>
    <row r="24" spans="3:12">
      <c r="C24" s="14">
        <v>3</v>
      </c>
      <c r="D24" s="17">
        <v>17</v>
      </c>
      <c r="E24" s="11">
        <v>0</v>
      </c>
      <c r="F24" s="23">
        <v>17</v>
      </c>
      <c r="G24" s="24">
        <v>0</v>
      </c>
      <c r="I24" s="17">
        <v>22</v>
      </c>
      <c r="J24" s="11">
        <v>311</v>
      </c>
      <c r="K24" s="23">
        <v>22</v>
      </c>
      <c r="L24" s="24">
        <v>311</v>
      </c>
    </row>
    <row r="25" spans="3:12">
      <c r="C25" s="14">
        <v>4</v>
      </c>
      <c r="D25" s="17">
        <v>18</v>
      </c>
      <c r="E25" s="11">
        <v>0</v>
      </c>
      <c r="F25" s="23">
        <v>18</v>
      </c>
      <c r="G25" s="24">
        <v>0</v>
      </c>
      <c r="I25" s="17">
        <v>23</v>
      </c>
      <c r="J25" s="11">
        <v>317</v>
      </c>
      <c r="K25" s="23">
        <v>23</v>
      </c>
      <c r="L25" s="24">
        <v>317</v>
      </c>
    </row>
    <row r="26" spans="3:12">
      <c r="C26" s="14">
        <v>5</v>
      </c>
      <c r="D26" s="17">
        <v>19</v>
      </c>
      <c r="E26" s="11">
        <v>0</v>
      </c>
      <c r="F26" s="23">
        <v>19</v>
      </c>
      <c r="G26" s="24">
        <v>0</v>
      </c>
      <c r="I26" s="17">
        <v>24</v>
      </c>
      <c r="J26" s="11">
        <v>325</v>
      </c>
      <c r="K26" s="23">
        <v>24</v>
      </c>
      <c r="L26" s="24">
        <v>325</v>
      </c>
    </row>
    <row r="27" spans="3:12">
      <c r="C27" s="14">
        <v>6</v>
      </c>
      <c r="D27" s="17">
        <v>20</v>
      </c>
      <c r="E27" s="11">
        <v>0</v>
      </c>
      <c r="F27" s="23">
        <v>20</v>
      </c>
      <c r="G27" s="24">
        <v>0</v>
      </c>
      <c r="I27" s="17">
        <v>25</v>
      </c>
      <c r="J27" s="11">
        <v>334</v>
      </c>
      <c r="K27" s="23">
        <v>25</v>
      </c>
      <c r="L27" s="24">
        <v>334</v>
      </c>
    </row>
    <row r="28" spans="3:12">
      <c r="C28" s="14">
        <v>7</v>
      </c>
      <c r="D28" s="17">
        <v>21</v>
      </c>
      <c r="E28" s="11">
        <v>100</v>
      </c>
      <c r="F28" s="23">
        <v>21</v>
      </c>
      <c r="G28" s="24">
        <v>130</v>
      </c>
      <c r="I28" s="17">
        <v>26</v>
      </c>
      <c r="J28" s="11">
        <v>342</v>
      </c>
      <c r="K28" s="23">
        <v>26</v>
      </c>
      <c r="L28" s="24">
        <v>342</v>
      </c>
    </row>
    <row r="29" spans="3:12">
      <c r="C29" s="14">
        <v>8</v>
      </c>
      <c r="D29" s="17">
        <v>22</v>
      </c>
      <c r="E29" s="11">
        <v>139</v>
      </c>
      <c r="F29" s="23">
        <v>22</v>
      </c>
      <c r="G29" s="24">
        <v>167</v>
      </c>
      <c r="I29" s="17">
        <v>27</v>
      </c>
      <c r="J29" s="11">
        <v>349</v>
      </c>
      <c r="K29" s="23">
        <v>27</v>
      </c>
      <c r="L29" s="24">
        <v>349</v>
      </c>
    </row>
    <row r="30" spans="3:12">
      <c r="C30" s="14">
        <v>9</v>
      </c>
      <c r="D30" s="17">
        <v>23</v>
      </c>
      <c r="E30" s="11">
        <v>165</v>
      </c>
      <c r="F30" s="23">
        <v>23</v>
      </c>
      <c r="G30" s="24">
        <v>231</v>
      </c>
      <c r="I30" s="17">
        <v>28</v>
      </c>
      <c r="J30" s="11">
        <v>354</v>
      </c>
      <c r="K30" s="23">
        <v>28</v>
      </c>
      <c r="L30" s="24">
        <v>354</v>
      </c>
    </row>
    <row r="31" spans="3:12">
      <c r="C31" s="14">
        <v>10</v>
      </c>
      <c r="D31" s="17">
        <v>24</v>
      </c>
      <c r="E31" s="11">
        <v>196</v>
      </c>
      <c r="F31" s="23">
        <v>24</v>
      </c>
      <c r="G31" s="24">
        <v>271</v>
      </c>
      <c r="I31" s="17">
        <v>29</v>
      </c>
      <c r="J31" s="11">
        <v>356</v>
      </c>
      <c r="K31" s="23">
        <v>29</v>
      </c>
      <c r="L31" s="24">
        <v>356</v>
      </c>
    </row>
    <row r="32" spans="3:12">
      <c r="C32" s="14">
        <v>11</v>
      </c>
      <c r="D32" s="17">
        <v>25</v>
      </c>
      <c r="E32" s="11">
        <v>210</v>
      </c>
      <c r="F32" s="23">
        <v>25</v>
      </c>
      <c r="G32" s="24">
        <v>253</v>
      </c>
      <c r="I32" s="17">
        <v>30</v>
      </c>
      <c r="J32" s="11">
        <v>355</v>
      </c>
      <c r="K32" s="23">
        <v>30</v>
      </c>
      <c r="L32" s="24">
        <v>355</v>
      </c>
    </row>
    <row r="33" spans="3:12">
      <c r="C33" s="14">
        <v>12</v>
      </c>
      <c r="D33" s="17">
        <v>26</v>
      </c>
      <c r="E33" s="11">
        <v>215</v>
      </c>
      <c r="F33" s="23">
        <v>26</v>
      </c>
      <c r="G33" s="24">
        <v>226</v>
      </c>
      <c r="I33" s="17">
        <v>31</v>
      </c>
      <c r="J33" s="11">
        <v>351</v>
      </c>
      <c r="K33" s="23">
        <v>31</v>
      </c>
      <c r="L33" s="24">
        <v>351</v>
      </c>
    </row>
    <row r="34" spans="3:12">
      <c r="C34" s="14">
        <v>13</v>
      </c>
      <c r="D34" s="17">
        <v>27</v>
      </c>
      <c r="E34" s="11">
        <v>210</v>
      </c>
      <c r="F34" s="23">
        <v>27</v>
      </c>
      <c r="G34" s="24">
        <v>189</v>
      </c>
      <c r="I34" s="17">
        <v>32</v>
      </c>
      <c r="J34" s="11">
        <v>344</v>
      </c>
      <c r="K34" s="23">
        <v>32</v>
      </c>
      <c r="L34" s="24">
        <v>344</v>
      </c>
    </row>
    <row r="35" spans="3:12">
      <c r="C35" s="14">
        <v>14</v>
      </c>
      <c r="D35" s="17">
        <v>28</v>
      </c>
      <c r="E35" s="11">
        <v>181</v>
      </c>
      <c r="F35" s="23">
        <v>28</v>
      </c>
      <c r="G35" s="24">
        <v>149</v>
      </c>
      <c r="I35" s="17">
        <v>33</v>
      </c>
      <c r="J35" s="11">
        <v>332</v>
      </c>
      <c r="K35" s="23">
        <v>33</v>
      </c>
      <c r="L35" s="24">
        <v>332</v>
      </c>
    </row>
    <row r="36" spans="3:12">
      <c r="C36" s="14">
        <v>15</v>
      </c>
      <c r="D36" s="17">
        <v>29</v>
      </c>
      <c r="E36" s="11">
        <v>150</v>
      </c>
      <c r="F36" s="23">
        <v>29</v>
      </c>
      <c r="G36" s="24">
        <v>128</v>
      </c>
      <c r="I36" s="17">
        <v>34</v>
      </c>
      <c r="J36" s="11">
        <v>317</v>
      </c>
      <c r="K36" s="23">
        <v>34</v>
      </c>
      <c r="L36" s="24">
        <v>317</v>
      </c>
    </row>
    <row r="37" spans="3:12">
      <c r="C37" s="14">
        <v>16</v>
      </c>
      <c r="D37" s="17">
        <v>30</v>
      </c>
      <c r="E37" s="11">
        <v>120</v>
      </c>
      <c r="F37" s="23">
        <v>30</v>
      </c>
      <c r="G37" s="24">
        <v>111</v>
      </c>
      <c r="I37" s="17">
        <v>35</v>
      </c>
      <c r="J37" s="11">
        <v>299</v>
      </c>
      <c r="K37" s="23">
        <v>35</v>
      </c>
      <c r="L37" s="24">
        <v>299</v>
      </c>
    </row>
    <row r="38" spans="3:12">
      <c r="C38" s="14">
        <v>17</v>
      </c>
      <c r="D38" s="17">
        <v>31</v>
      </c>
      <c r="E38" s="11">
        <v>75</v>
      </c>
      <c r="F38" s="23">
        <v>31</v>
      </c>
      <c r="G38" s="24">
        <v>84</v>
      </c>
      <c r="I38" s="17">
        <v>36</v>
      </c>
      <c r="J38" s="11">
        <v>277</v>
      </c>
      <c r="K38" s="23">
        <v>36</v>
      </c>
      <c r="L38" s="24">
        <v>277</v>
      </c>
    </row>
    <row r="39" spans="3:12">
      <c r="C39" s="14">
        <v>18</v>
      </c>
      <c r="D39" s="17">
        <v>32</v>
      </c>
      <c r="E39" s="11">
        <v>35</v>
      </c>
      <c r="F39" s="23">
        <v>32</v>
      </c>
      <c r="G39" s="24">
        <v>60</v>
      </c>
      <c r="I39" s="17">
        <v>37</v>
      </c>
      <c r="J39" s="11">
        <v>252</v>
      </c>
      <c r="K39" s="23">
        <v>37</v>
      </c>
      <c r="L39" s="24">
        <v>252</v>
      </c>
    </row>
    <row r="40" spans="3:12">
      <c r="C40" s="14">
        <v>19</v>
      </c>
      <c r="D40" s="17">
        <v>33</v>
      </c>
      <c r="E40" s="11">
        <v>11</v>
      </c>
      <c r="F40" s="23">
        <v>33</v>
      </c>
      <c r="G40" s="24">
        <v>38</v>
      </c>
      <c r="I40" s="17">
        <v>38</v>
      </c>
      <c r="J40" s="11">
        <v>225</v>
      </c>
      <c r="K40" s="23">
        <v>38</v>
      </c>
      <c r="L40" s="24">
        <v>225</v>
      </c>
    </row>
    <row r="41" spans="3:12">
      <c r="C41" s="14">
        <v>20</v>
      </c>
      <c r="D41" s="17">
        <v>34</v>
      </c>
      <c r="E41" s="11">
        <v>6</v>
      </c>
      <c r="F41" s="23">
        <v>34</v>
      </c>
      <c r="G41" s="24">
        <v>22</v>
      </c>
      <c r="I41" s="17">
        <v>39</v>
      </c>
      <c r="J41" s="11">
        <v>195</v>
      </c>
      <c r="K41" s="23">
        <v>39</v>
      </c>
      <c r="L41" s="24">
        <v>195</v>
      </c>
    </row>
    <row r="42" spans="3:12">
      <c r="C42" s="14">
        <v>21</v>
      </c>
      <c r="D42" s="17">
        <v>35</v>
      </c>
      <c r="E42" s="11">
        <v>4</v>
      </c>
      <c r="F42" s="23">
        <v>35</v>
      </c>
      <c r="G42" s="24">
        <v>12</v>
      </c>
      <c r="I42" s="17">
        <v>40</v>
      </c>
      <c r="J42" s="11">
        <v>165</v>
      </c>
      <c r="K42" s="23">
        <v>40</v>
      </c>
      <c r="L42" s="24">
        <v>165</v>
      </c>
    </row>
    <row r="43" spans="3:12">
      <c r="C43" s="14">
        <v>22</v>
      </c>
      <c r="D43" s="17">
        <v>36</v>
      </c>
      <c r="E43" s="11">
        <v>0</v>
      </c>
      <c r="F43" s="23">
        <v>36</v>
      </c>
      <c r="G43" s="24">
        <v>5</v>
      </c>
      <c r="I43" s="17">
        <v>41</v>
      </c>
      <c r="J43" s="11">
        <v>133</v>
      </c>
      <c r="K43" s="23">
        <v>41</v>
      </c>
      <c r="L43" s="24">
        <v>133</v>
      </c>
    </row>
    <row r="44" spans="3:12">
      <c r="C44" s="14">
        <v>23</v>
      </c>
      <c r="D44" s="17">
        <v>37</v>
      </c>
      <c r="E44" s="11">
        <v>0</v>
      </c>
      <c r="F44" s="23">
        <v>37</v>
      </c>
      <c r="G44" s="24">
        <v>3</v>
      </c>
      <c r="I44" s="17">
        <v>42</v>
      </c>
      <c r="J44" s="11">
        <v>103</v>
      </c>
      <c r="K44" s="23">
        <v>42</v>
      </c>
      <c r="L44" s="24">
        <v>103</v>
      </c>
    </row>
    <row r="45" spans="3:12">
      <c r="C45" s="14">
        <v>24</v>
      </c>
      <c r="D45" s="17">
        <v>38</v>
      </c>
      <c r="E45" s="11">
        <v>0</v>
      </c>
      <c r="F45" s="23">
        <v>38</v>
      </c>
      <c r="G45" s="24">
        <v>1</v>
      </c>
      <c r="I45" s="17">
        <v>43</v>
      </c>
      <c r="J45" s="11">
        <v>73</v>
      </c>
      <c r="K45" s="23">
        <v>43</v>
      </c>
      <c r="L45" s="24">
        <v>73</v>
      </c>
    </row>
    <row r="46" spans="3:12">
      <c r="C46" s="14">
        <v>25</v>
      </c>
      <c r="D46" s="17">
        <v>39</v>
      </c>
      <c r="E46" s="11">
        <v>0</v>
      </c>
      <c r="F46" s="23">
        <v>39</v>
      </c>
      <c r="G46" s="24">
        <v>0</v>
      </c>
      <c r="I46" s="17">
        <v>44</v>
      </c>
      <c r="J46" s="11">
        <v>47</v>
      </c>
      <c r="K46" s="23">
        <v>44</v>
      </c>
      <c r="L46" s="24">
        <v>47</v>
      </c>
    </row>
    <row r="47" spans="3:12">
      <c r="C47" s="14">
        <v>26</v>
      </c>
      <c r="D47" s="17">
        <v>40</v>
      </c>
      <c r="E47" s="11">
        <v>0</v>
      </c>
      <c r="F47" s="23">
        <v>40</v>
      </c>
      <c r="G47" s="24">
        <v>0</v>
      </c>
      <c r="I47" s="17">
        <v>45</v>
      </c>
      <c r="J47" s="11">
        <v>24</v>
      </c>
      <c r="K47" s="23">
        <v>45</v>
      </c>
      <c r="L47" s="24">
        <v>24</v>
      </c>
    </row>
    <row r="48" spans="3:12">
      <c r="C48" s="14">
        <v>27</v>
      </c>
      <c r="D48" s="17">
        <v>41</v>
      </c>
      <c r="E48" s="11">
        <v>0</v>
      </c>
      <c r="F48" s="23">
        <v>41</v>
      </c>
      <c r="G48" s="24">
        <v>0</v>
      </c>
      <c r="I48" s="17">
        <v>46</v>
      </c>
      <c r="J48" s="11">
        <v>6</v>
      </c>
      <c r="K48" s="23">
        <v>46</v>
      </c>
      <c r="L48" s="24">
        <v>6</v>
      </c>
    </row>
    <row r="49" spans="3:12">
      <c r="C49" s="14">
        <v>28</v>
      </c>
      <c r="D49" s="17">
        <v>42</v>
      </c>
      <c r="E49" s="11">
        <v>0</v>
      </c>
      <c r="F49" s="23">
        <v>42</v>
      </c>
      <c r="G49" s="24">
        <v>0</v>
      </c>
      <c r="I49" s="17">
        <v>47</v>
      </c>
      <c r="J49" s="11">
        <v>0</v>
      </c>
      <c r="K49" s="23">
        <v>47</v>
      </c>
      <c r="L49" s="24">
        <v>0</v>
      </c>
    </row>
    <row r="50" spans="3:12">
      <c r="C50" s="14">
        <v>29</v>
      </c>
      <c r="D50" s="17">
        <v>43</v>
      </c>
      <c r="E50" s="11">
        <v>0</v>
      </c>
      <c r="F50" s="23">
        <v>43</v>
      </c>
      <c r="G50" s="24">
        <v>0</v>
      </c>
      <c r="I50" s="17">
        <v>48</v>
      </c>
      <c r="J50" s="11">
        <v>0</v>
      </c>
      <c r="K50" s="23">
        <v>48</v>
      </c>
      <c r="L50" s="24">
        <v>0</v>
      </c>
    </row>
    <row r="51" spans="3:12">
      <c r="C51" s="14">
        <v>30</v>
      </c>
      <c r="D51" s="17">
        <v>44</v>
      </c>
      <c r="E51" s="11">
        <v>0</v>
      </c>
      <c r="F51" s="23">
        <v>44</v>
      </c>
      <c r="G51" s="24">
        <v>0</v>
      </c>
      <c r="I51" s="17">
        <v>49</v>
      </c>
      <c r="J51" s="11">
        <v>0</v>
      </c>
      <c r="K51" s="23">
        <v>49</v>
      </c>
      <c r="L51" s="24">
        <v>0</v>
      </c>
    </row>
    <row r="52" spans="3:12">
      <c r="C52" s="15">
        <v>31</v>
      </c>
      <c r="D52" s="18">
        <v>45</v>
      </c>
      <c r="E52" s="12">
        <v>0</v>
      </c>
      <c r="F52" s="25">
        <v>45</v>
      </c>
      <c r="G52" s="26">
        <v>0</v>
      </c>
      <c r="I52" s="18">
        <v>50</v>
      </c>
      <c r="J52" s="12">
        <v>0</v>
      </c>
      <c r="K52" s="25">
        <v>50</v>
      </c>
      <c r="L52" s="26">
        <v>0</v>
      </c>
    </row>
    <row r="53" spans="3:12">
      <c r="E53" s="1">
        <f>SUM(E22:E52)</f>
        <v>1817</v>
      </c>
      <c r="G53" s="1">
        <f>SUM(G22:G52)</f>
        <v>2080</v>
      </c>
      <c r="J53" s="1">
        <f>SUM(J22:J52)</f>
        <v>6493</v>
      </c>
      <c r="L53" s="1">
        <f>SUM(L22:L52)</f>
        <v>6493</v>
      </c>
    </row>
  </sheetData>
  <sheetProtection algorithmName="SHA-512" hashValue="jPeyQpDw22O+yi7y8ZNZJk64GMZj7cougrTQQyHV6TQHWcr17nWO4Xscy6LpLMCnn+6xa+WihdtH62GVKJmyaQ==" saltValue="NVnZEjYLOZrc42nPYyAxcQ==" spinCount="100000" sheet="1" objects="1" scenarios="1"/>
  <mergeCells count="40">
    <mergeCell ref="D7:E7"/>
    <mergeCell ref="D8:E8"/>
    <mergeCell ref="D9:E9"/>
    <mergeCell ref="D11:E11"/>
    <mergeCell ref="D12:E12"/>
    <mergeCell ref="I7:J7"/>
    <mergeCell ref="I8:J8"/>
    <mergeCell ref="I9:J9"/>
    <mergeCell ref="I11:J11"/>
    <mergeCell ref="I12:J12"/>
    <mergeCell ref="D17:E17"/>
    <mergeCell ref="D18:E18"/>
    <mergeCell ref="D15:E15"/>
    <mergeCell ref="D16:E16"/>
    <mergeCell ref="D14:E14"/>
    <mergeCell ref="I14:J14"/>
    <mergeCell ref="I15:J15"/>
    <mergeCell ref="I16:J16"/>
    <mergeCell ref="I17:J17"/>
    <mergeCell ref="I18:J18"/>
    <mergeCell ref="K7:L7"/>
    <mergeCell ref="K8:L8"/>
    <mergeCell ref="K9:L9"/>
    <mergeCell ref="K11:L11"/>
    <mergeCell ref="K12:L12"/>
    <mergeCell ref="K14:L14"/>
    <mergeCell ref="K15:L15"/>
    <mergeCell ref="K16:L16"/>
    <mergeCell ref="K17:L17"/>
    <mergeCell ref="K18:L18"/>
    <mergeCell ref="F7:G7"/>
    <mergeCell ref="F8:G8"/>
    <mergeCell ref="F9:G9"/>
    <mergeCell ref="F11:G11"/>
    <mergeCell ref="F12:G12"/>
    <mergeCell ref="F14:G14"/>
    <mergeCell ref="F15:G15"/>
    <mergeCell ref="F16:G16"/>
    <mergeCell ref="F17:G17"/>
    <mergeCell ref="F18:G18"/>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Instruction</vt:lpstr>
      <vt:lpstr>Variable Capacity unit</vt:lpstr>
      <vt:lpstr>Multi-stage Capacity unit</vt:lpstr>
      <vt:lpstr>Two-stage Capacity unit</vt:lpstr>
      <vt:lpstr>Fixed Capacity unit</vt:lpstr>
      <vt:lpstr>data</vt:lpstr>
    </vt:vector>
  </TitlesOfParts>
  <Company>DAIKIN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iwamoton</dc:creator>
  <cp:lastModifiedBy>Ivan Dos Santos Avila</cp:lastModifiedBy>
  <cp:lastPrinted>2018-05-04T23:23:05Z</cp:lastPrinted>
  <dcterms:created xsi:type="dcterms:W3CDTF">2011-06-16T05:37:43Z</dcterms:created>
  <dcterms:modified xsi:type="dcterms:W3CDTF">2023-08-01T18:50:53Z</dcterms:modified>
</cp:coreProperties>
</file>